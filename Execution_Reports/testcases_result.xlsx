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tabRatio="500" activeTab="1"/>
  </bookViews>
  <sheets>
    <sheet name="QA Dashboard" sheetId="1" r:id="rId1"/>
    <sheet name="Test Cases" sheetId="2" r:id="rId2"/>
    <sheet name="Lists" sheetId="3" r:id="rId3"/>
  </sheets>
  <definedNames>
    <definedName name="_xlnm.Print_Area" localSheetId="0">'QA Dashboard'!$A$1:$L$47</definedName>
    <definedName name="_xlnm.Print_Titles" localSheetId="1">'Test Cases'!$1:$1</definedName>
    <definedName name="_xlnm._FilterDatabase" localSheetId="1" hidden="1">'Test Cases'!$A$1:$W$501</definedName>
  </definedNames>
  <calcPr calcId="144525" fullCalcOnLoad="true"/>
</workbook>
</file>

<file path=xl/sharedStrings.xml><?xml version="1.0" encoding="utf-8"?>
<sst xmlns="http://schemas.openxmlformats.org/spreadsheetml/2006/main" count="2394" uniqueCount="709">
  <si>
    <t>QA Test Execution Dashboard</t>
  </si>
  <si>
    <t>Project / Release:</t>
  </si>
  <si>
    <t>Report date:</t>
  </si>
  <si>
    <t>TOTAL TEST CASES</t>
  </si>
  <si>
    <t>EXECUTION %</t>
  </si>
  <si>
    <t>PASS %</t>
  </si>
  <si>
    <t>HIGH / CRITICAL RISK</t>
  </si>
  <si>
    <t>Test cases in repository</t>
  </si>
  <si>
    <t>Of executed test cases</t>
  </si>
  <si>
    <t>Risk level High or Critical (P1 / P2)</t>
  </si>
  <si>
    <t>PASSED</t>
  </si>
  <si>
    <t>FAILED</t>
  </si>
  <si>
    <t>BLOCKED</t>
  </si>
  <si>
    <t>AUTOMATION CANDIDATES</t>
  </si>
  <si>
    <t>Risk Distribution</t>
  </si>
  <si>
    <t>Test Status</t>
  </si>
  <si>
    <t>Execution by Tester</t>
  </si>
  <si>
    <t>Risk Level</t>
  </si>
  <si>
    <t>Test Cases</t>
  </si>
  <si>
    <t>% of Total</t>
  </si>
  <si>
    <t>Status</t>
  </si>
  <si>
    <t>Executed By</t>
  </si>
  <si>
    <t>Assigned</t>
  </si>
  <si>
    <t>Executed</t>
  </si>
  <si>
    <t>Execution %</t>
  </si>
  <si>
    <t>Pending</t>
  </si>
  <si>
    <t>Critical</t>
  </si>
  <si>
    <t>Pass</t>
  </si>
  <si>
    <t>Anagha</t>
  </si>
  <si>
    <t>High</t>
  </si>
  <si>
    <t>Fail</t>
  </si>
  <si>
    <t>Nikhil</t>
  </si>
  <si>
    <t>Medium</t>
  </si>
  <si>
    <t>Blocked</t>
  </si>
  <si>
    <t>Low</t>
  </si>
  <si>
    <t>Not Run</t>
  </si>
  <si>
    <t>Total</t>
  </si>
  <si>
    <t>Not Applicable</t>
  </si>
  <si>
    <t>Test Cases by Risk Level</t>
  </si>
  <si>
    <t>Test Execution Status</t>
  </si>
  <si>
    <t>Definitions &amp; Notes</t>
  </si>
  <si>
    <t>Execution % = (Passed + Failed + Blocked) ÷ Total Test Cases.   Pass % = Passed ÷ (Passed + Failed + Blocked).</t>
  </si>
  <si>
    <t>Risk Score = Impact (Low 1 … Critical 4) × Likelihood (Rare 1 … Almost Certain 5).   Risk Level: Critical ≥ 12, High 8–11, Medium 4–7, Low &lt; 4.</t>
  </si>
  <si>
    <t>Priority follows Risk Level: Critical = P1, High = P2, Medium = P3, Low = P4.   High / Critical Risk counts P1 + P2 test cases.</t>
  </si>
  <si>
    <t>All figures are calculated live from the 'Test Cases' sheet (rows 2–501). Enter tester names in the shaded 'Executed By' cells above (up to 9); enter Project / Release in the shaded field at the top.</t>
  </si>
  <si>
    <t>Test Case ID</t>
  </si>
  <si>
    <t>Module / Feature</t>
  </si>
  <si>
    <t>Requirement ID / User Story</t>
  </si>
  <si>
    <t>Test Case Description</t>
  </si>
  <si>
    <t>Test Type</t>
  </si>
  <si>
    <t>Test Steps</t>
  </si>
  <si>
    <t>Expected Result</t>
  </si>
  <si>
    <t>Actual Result</t>
  </si>
  <si>
    <t>Business Criticality (Business importance)</t>
  </si>
  <si>
    <t>Impact (Business/customer impact)</t>
  </si>
  <si>
    <t>Likelihood (Probability of failure)</t>
  </si>
  <si>
    <t>Risk Score (Impact * Likelihood)</t>
  </si>
  <si>
    <t>Risk Level (Risk if functionality fails)</t>
  </si>
  <si>
    <t>Priority (Execution priority)</t>
  </si>
  <si>
    <t>Scope Category</t>
  </si>
  <si>
    <t>Automation Candidate</t>
  </si>
  <si>
    <t>Regression Candidate</t>
  </si>
  <si>
    <t>Environment</t>
  </si>
  <si>
    <t>Defect ID</t>
  </si>
  <si>
    <t>Execution Date</t>
  </si>
  <si>
    <t>Remarks</t>
  </si>
  <si>
    <t>AOB_FTC_001</t>
  </si>
  <si>
    <t>Agent On-boarding Summary</t>
  </si>
  <si>
    <t>US 1.0</t>
  </si>
  <si>
    <t>Verify user can access Agent Onboarding module from left navigation bar</t>
  </si>
  <si>
    <t>Functional</t>
  </si>
  <si>
    <t>User lands on Agent Onboarding summary screen with application list</t>
  </si>
  <si>
    <t>Rare</t>
  </si>
  <si>
    <t>Core</t>
  </si>
  <si>
    <t>No</t>
  </si>
  <si>
    <t>QA</t>
  </si>
  <si>
    <t>AOB_FTC_002</t>
  </si>
  <si>
    <t>Optional</t>
  </si>
  <si>
    <t>Yes</t>
  </si>
  <si>
    <t>Business Criticality</t>
  </si>
  <si>
    <t>Impact</t>
  </si>
  <si>
    <t>Likelihood</t>
  </si>
  <si>
    <t>Priority</t>
  </si>
  <si>
    <t>Yes/No</t>
  </si>
  <si>
    <t>Release</t>
  </si>
  <si>
    <t>Requirement Type</t>
  </si>
  <si>
    <t>P1</t>
  </si>
  <si>
    <t>DEV</t>
  </si>
  <si>
    <t>Release 1</t>
  </si>
  <si>
    <t>Regression</t>
  </si>
  <si>
    <t>Unlikely</t>
  </si>
  <si>
    <t>Impacted</t>
  </si>
  <si>
    <t>P2</t>
  </si>
  <si>
    <t>Release 2</t>
  </si>
  <si>
    <t>Non-Functional</t>
  </si>
  <si>
    <t>Integration</t>
  </si>
  <si>
    <t>Possible</t>
  </si>
  <si>
    <t>P3</t>
  </si>
  <si>
    <t>UAT</t>
  </si>
  <si>
    <t>Release 3</t>
  </si>
  <si>
    <t>Technical</t>
  </si>
  <si>
    <t>API</t>
  </si>
  <si>
    <t>Likely</t>
  </si>
  <si>
    <t>P4</t>
  </si>
  <si>
    <t>Production</t>
  </si>
  <si>
    <t>Business</t>
  </si>
  <si>
    <t>UI</t>
  </si>
  <si>
    <t>Almost Certain</t>
  </si>
  <si>
    <t>Security</t>
  </si>
  <si>
    <t>Mobile</t>
  </si>
  <si>
    <t>Performance</t>
  </si>
  <si>
    <t>Out of Scope</t>
  </si>
  <si>
    <t>Smoke</t>
  </si>
  <si>
    <t>Sanity</t>
  </si>
  <si>
    <t>Note: Scope category descriptions</t>
  </si>
  <si>
    <t>Core – Mandatory functionality</t>
  </si>
  <si>
    <t>Impacted – Directly affected by the change</t>
  </si>
  <si>
    <t>Regression – Existing functionality potentially affected</t>
  </si>
  <si>
    <t>Integration – External/system integration</t>
  </si>
  <si>
    <t>Security – Security-sensitive functionality</t>
  </si>
  <si>
    <t>Performance – Performance-sensitive functionality</t>
  </si>
  <si>
    <t>Optional – Lower-priority validation</t>
  </si>
  <si>
    <t>Out of Scope – Explicitly excluded with justification</t>
  </si>
  <si>
    <t>Testcase column color code</t>
  </si>
  <si>
    <t>Manual Entry</t>
  </si>
  <si>
    <t>Dropdown Selection</t>
  </si>
  <si>
    <t>Values Based on Calculation</t>
  </si>
  <si>
    <t>RLC_CM_001</t>
  </si>
  <si>
    <t>Campaign Management</t>
  </si>
  <si>
    <t>TS: Campaign Management</t>
  </si>
  <si>
    <t>Verify that the system successfully creates a campaign when all mandatory campaign details are entered and displays a confirmation notification indicating that the campaign was created successfully.</t>
  </si>
  <si>
    <t>1. Navigate to https://192.168.2.80:8443 and log in as AA (102186).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Verify the 'Campaign Created Successfully' notification is displayed and the campaign appears in the campaign list.</t>
  </si>
  <si>
    <t>Campaign is created successfully and a "Campaign Created Successfully" notification is displayed.</t>
  </si>
  <si>
    <t>RLC_CM_002</t>
  </si>
  <si>
    <t>Verify that the system successfully creates the campaign and displays the creation success notification.</t>
  </si>
  <si>
    <t>1. Navigate to https://192.168.2.80:8443 and log in as AA (102186).
2. Click Recruitment Leads Mgmt &gt; Campaign Management.
3. Click the '+' button to open the Create Campaign form.
4. Enter a unique Campaign Name, valid Start/End Dates, Campaign Budget and Lead Target below 500, and fill the optional fields.
5. Click Proceed, then click OK.
6. Verify the campaign is created and the creation success notification is displayed.</t>
  </si>
  <si>
    <t>Campaign is created successfully and the creation success notification is displayed.</t>
  </si>
  <si>
    <t>RLC_CM_003</t>
  </si>
  <si>
    <t>Verify that users without permission cannot access the Create Campaign functionality.</t>
  </si>
  <si>
    <t>1. Navigate to https://192.168.2.80:8443 and log in as HOB/AH (102117).
2. Click Recruitment Leads Mgmt.
3. Check whether Campaign Management or the '+' (Create Campaign) button is available.
4. Try to open the Create Campaign page directly via its URL.
5. Log out and repeat steps 1–4 as AS (102119).
6. Verify the Create Campaign functionality is unavailable or access is denied for both users.</t>
  </si>
  <si>
    <t>Create Campaign functionality is unavailable or access is denied.</t>
  </si>
  <si>
    <t>RLC_CM_004</t>
  </si>
  <si>
    <t>Verify that the system prevents submission when mandatory fields are not completed and displays the appropriate validation/mandatory-field notification.</t>
  </si>
  <si>
    <t>1. Navigate to https://192.168.2.80:8443 and log in as AA (102186).
2. Click Recruitment Leads Mgmt &gt; Campaign Management.
3. Click the '+' button to open the Create Campaign form.
4. Leave one or more mandatory fields (Campaign Name, Start Date, End Date, Budget, Lead Target) blank.
5. Click Proceed.
6. Repeat with each mandatory field left blank one at a time.
7. Verify submission is prevented and a mandatory-field validation notification is displayed each time.</t>
  </si>
  <si>
    <t>Submission is prevented and validation/mandatory-field notification is displayed.</t>
  </si>
  <si>
    <t>RLC_CM_005</t>
  </si>
  <si>
    <t>Verify that the system allows campaign creation when optional fields are left blank and does not display validation errors for those fields.</t>
  </si>
  <si>
    <t>1. Navigate to https://192.168.2.80:8443 and log in as AA (102186).
2. Click Recruitment Leads Mgmt &gt; Campaign Management.
3. Click the '+' button to open the Create Campaign form.
4. Fill only the mandatory fields with valid data (unique Campaign Name, valid dates, Budget, Lead Target below 500) and leave all optional fields blank.
5. Click Proceed, then click OK.
6. Verify the campaign is created without any validation errors for the optional fields.</t>
  </si>
  <si>
    <t>Campaign is created successfully without validation errors for optional fields.</t>
  </si>
  <si>
    <t>RLC_CM_006</t>
  </si>
  <si>
    <t>Verify that the system prevents campaign creation when an invalid date is entered and displays the appropriate date validation message.</t>
  </si>
  <si>
    <t>1. Navigate to https://192.168.2.80:8443 and log in as AA (102186).
2. Click Recruitment Leads Mgmt &gt; Campaign Management.
3. Click the '+' button to open the Create Campaign form.
4. Enter a unique Campaign Name, Budget and Lead Target below 500.
5. Using the date pickers, select an End Date earlier than the Start Date.
6. Click Proceed.
7. Verify campaign creation is prevented and an appropriate date validation message is displayed.</t>
  </si>
  <si>
    <t>System prevents creation and displays appropriate date validation.</t>
  </si>
  <si>
    <t>RLC_CM_007</t>
  </si>
  <si>
    <t>Verify that the updated campaign information is successfully saved and displayed correctly.</t>
  </si>
  <si>
    <t>1. Navigate to https://192.168.2.80:8443 and log in as AA (102186).
2. Click Recruitment Leads Mgmt &gt; Campaign Management.
3. Click the 3-dots menu of an Active campaign and select Edit.
4. Update the editable campaign details (e.g., End Date to a current or future date, Budget).
5. Click Proceed, then click OK.
6. Reopen the campaign from the campaign list.
7. Verify the updated campaign information is saved and displayed correctly.</t>
  </si>
  <si>
    <t>Updated campaign information is saved and displayed.</t>
  </si>
  <si>
    <t>RLC_CM_008</t>
  </si>
  <si>
    <t>Verify that the updated campaign end date is successfully saved, retained, and displayed correctly.</t>
  </si>
  <si>
    <t>1. Navigate to https://192.168.2.80:8443 and log in as AA (102186).
2. Click Recruitment Leads Mgmt &gt; Campaign Management.
3. Click the 3-dots menu of an Active campaign and select Edit.
4. Using the End Date picker, select a new current or future End Date.
5. Click Proceed, then click OK.
6. Log out, log in again as AA (102186) and open the same campaign.
7. Verify the updated End Date is retained and displayed correctly.</t>
  </si>
  <si>
    <t>Updated end date is retained and displayed correctly.</t>
  </si>
  <si>
    <t>RLC_CM_009</t>
  </si>
  <si>
    <t>Verify that the updated budget value is saved successfully and displayed correctly after updating the budget.</t>
  </si>
  <si>
    <t>1. Navigate to https://192.168.2.80:8443 and log in as AA (102186).
2. Click Recruitment Leads Mgmt &gt; Campaign Management.
3. Click the 3-dots menu of an Active campaign and select Edit.
4. Change the Campaign Budget to a new valid value.
5. Click Proceed, then click OK.
6. Reopen the campaign from the campaign list.
7. Verify the updated budget is retained and displayed correctly.</t>
  </si>
  <si>
    <t>Updated budget is retained and displayed correctly.</t>
  </si>
  <si>
    <t>RLC_CM_010</t>
  </si>
  <si>
    <t>Verify that a campaign status is updated to Active successfully when the campaign is activated.</t>
  </si>
  <si>
    <t>1. Precondition: an Inactive/Deactivated campaign with a current or future End Date exists.
2. Navigate to https://192.168.2.80:8443 and log in as AA (102186).
3. Click Recruitment Leads Mgmt &gt; Campaign Management.
4. Click the 3-dots menu of the Inactive campaign and select Activate.
5. Click OK on the confirmation.
6. Verify the campaign status changes to Active in the campaign list.</t>
  </si>
  <si>
    <t>Campaign status changes to active.</t>
  </si>
  <si>
    <t>RLC_CM_011</t>
  </si>
  <si>
    <t>Verify that an active campaign can be successfully deactivated and its status is updated to Inactive/Deactivated.</t>
  </si>
  <si>
    <t>1. Precondition: an Active campaign exists.
2. Navigate to https://192.168.2.80:8443 and log in as AA (102186).
3. Click Recruitment Leads Mgmt &gt; Campaign Management.
4. Click the 3-dots menu of the Active campaign and select Deactivate.
5. Click OK on the confirmation.
6. Verify the campaign status changes to Inactive/Deactivated in the campaign list.</t>
  </si>
  <si>
    <t>Campaign status changes to inactive/deactivated.</t>
  </si>
  <si>
    <t>RLC_CM_012</t>
  </si>
  <si>
    <t>TS: User Wise–Marketing/AA</t>
  </si>
  <si>
    <t>Verify that an expired campaign remains visible according to the implemented campaign visibility behavior and that its Expired status/state is clearly identifiable.</t>
  </si>
  <si>
    <t>1. Precondition: a campaign whose End Date is in the past exists.
2. Navigate to https://192.168.2.80:8443 and log in as AA (102186).
3. Click Recruitment Leads Mgmt &gt; Campaign Management.
4. Search or scroll the campaign list for the expired campaign.
5. Check the status displayed for the campaign.
6. Verify the expired campaign remains visible in the listing and its Expired status is clearly identifiable.</t>
  </si>
  <si>
    <t>Expired campaign remains visible according to the implemented campaign visibility behavior and its expired/status state is identifiable.</t>
  </si>
  <si>
    <t>RLC_BU_001</t>
  </si>
  <si>
    <t>Lead Bulk Upload</t>
  </si>
  <si>
    <t>TS: Lead Bulk Upload</t>
  </si>
  <si>
    <t>Verify that the Bulk Lead Upload functionality is available to the authorized user.</t>
  </si>
  <si>
    <t>1. Navigate to https://192.168.2.80:8443 and log in as AA (102186).
2. Click Recruitment Leads Mgmt &gt; Campaign Management.
3. Click the 3-dots menu of an Active campaign and select Bulk.
4. Check that Download Sample Template, the file uploader and 'Bulk Upload bulk leads' are displayed.
5. Verify the bulk lead upload functionality is available to the authorized user.</t>
  </si>
  <si>
    <t>Bulk lead upload functionality is available.</t>
  </si>
  <si>
    <t>RLC_BU_002</t>
  </si>
  <si>
    <t>Verify individual lead entry is unavailable when bulk upload is mandatory. Test Objective: Verify that users cannot enter or create leads individually when the requirement restricts lead creation to Bulk Upload only.</t>
  </si>
  <si>
    <t>1. Navigate to https://192.168.2.80:8443 and log in as AA (102186).
2. Click Recruitment Leads Mgmt &gt; Campaign Management.
3. Open an Active campaign from the campaign list.
4. Look for any option to add a single lead manually (e.g., '+' add lead or an Add Lead form).
5. Verify individual lead entry is unavailable and leads can only be added through Bulk Upload.</t>
  </si>
  <si>
    <t>Individual lead entry is unavailable where the requirement restricts entry to bulk upload.</t>
  </si>
  <si>
    <t>RLC_BU_003</t>
  </si>
  <si>
    <t>Verify that the sample template required for bulk lead upload is available for download.</t>
  </si>
  <si>
    <t>1. Navigate to https://192.168.2.80:8443 and log in as AA (102186).
2. Click Recruitment Leads Mgmt &gt; Campaign Management.
3. Click the 3-dots menu of an Active campaign and select Bulk.
4. Click Download Sample Template and click Save.
5. Open the downloaded file.
6. Verify the sample template is downloaded and contains the columns Name, NIC, Contact number, Branch, Address_1, Address_2, Address_3, City and Occupation.</t>
  </si>
  <si>
    <t>Sample template is made available for download.</t>
  </si>
  <si>
    <t>RLC_BU_004</t>
  </si>
  <si>
    <t>Verify that files containing all required columns are accepted for structural validation, while files missing any required column are rejected with an appropriate validation message.</t>
  </si>
  <si>
    <t>1. Navigate to https://192.168.2.80:8443 and log in as AA (102186).
2. Click Recruitment Leads Mgmt &gt; Campaign Management.
3. Click the 3-dots menu of an Active campaign and select Bulk.
4. Click Download Sample Template and click Save.
5. Prepare file A with all required columns and valid Sri Lankan lead data; prepare file B by deleting one mandatory column (e.g., NIC).
6. Click the 'Please upload .XLS, .XLSX or .CSV files only' uploader and select the prepared file. (file A)
7. Click 'Bulk Upload bulk leads', then click OK.
8. Repeat the upload with file B.
9. Verify file A is accepted for processing and file B is rejected with an appropriate missing-column validation message.</t>
  </si>
  <si>
    <t>Files containing all required columns are accepted for structural validation; files missing a required column are rejected with an appropriate validation message.</t>
  </si>
  <si>
    <t>RLC_BU_005</t>
  </si>
  <si>
    <t>Verify that a bulk lead upload file containing blank values in optional fields is accepted without validation errors.</t>
  </si>
  <si>
    <t>1. Navigate to https://192.168.2.80:8443 and log in as AA (102186).
2. Click Recruitment Leads Mgmt &gt; Campaign Management.
3. Click the 3-dots menu of an Active campaign and select Bulk.
4. Click Download Sample Template and click Save.
5. Fill only the mandatory columns (Name, NIC, Contact number, Branch) with unique Sri Lankan data and leave Address_1-3, City and Occupation blank; save the file.
6. Click the 'Please upload .XLS, .XLSX or .CSV files only' uploader and select the prepared file.
7. Click 'Bulk Upload bulk leads', then click OK.
8. Verify the file is accepted without validation errors caused by the blank optional fields.</t>
  </si>
  <si>
    <t>File is accepted without validation errors caused by blank optional fields.</t>
  </si>
  <si>
    <t>RLC_BU_006</t>
  </si>
  <si>
    <t>Verify that a valid bulk lead upload file is accepted and processed successfully without validation or processing errors</t>
  </si>
  <si>
    <t>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6. Click the 'Please upload .XLS, .XLSX or .CSV files only' uploader and select the prepared file.
7. Click 'Bulk Upload bulk leads', then click OK.
8. Verify the file is accepted and processed successfully without any validation or processing errors.</t>
  </si>
  <si>
    <t>File is accepted and processed successfully.</t>
  </si>
  <si>
    <t>RLC_BU_007</t>
  </si>
  <si>
    <t>Verify that a valid bulk lead upload file is accepted and processed successfully.</t>
  </si>
  <si>
    <t>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Save it as .XLSX.
6. Click the 'Please upload .XLS, .XLSX or .CSV files only' uploader and select the prepared file.
7. Click 'Bulk Upload bulk leads', then click OK.
8. Verify the file is accepted and processed successfully and the leads are listed under the campaign.</t>
  </si>
  <si>
    <t>RLC_BU_008</t>
  </si>
  <si>
    <t>Verify that a CSV file is accepted when CSV is a supported upload format and rejected with an appropriate supported-format message when CSV is not supported.</t>
  </si>
  <si>
    <t>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Save it in .CSV format.
6. Click the 'Please upload .XLS, .XLSX or .CSV files only' uploader and select the prepared file.
7. Click 'Bulk Upload bulk leads', then click OK.
8. Verify the CSV file is accepted and processed (CSV is listed as supported); if CSV is not supported, verify it is rejected with a supported-format message.</t>
  </si>
  <si>
    <t>CSV is accepted if supported by the final implemented requirement; otherwise the system rejects it with a supported-format message.</t>
  </si>
  <si>
    <t>RLC_BU_009</t>
  </si>
  <si>
    <t>Verify that the system rejects files with unsupported formats and displays an appropriate error message.</t>
  </si>
  <si>
    <t>1. Navigate to https://192.168.2.80:8443 and log in as AA (102186).
2. Click Recruitment Leads Mgmt &gt; Campaign Management.
3. Click the 3-dots menu of an Active campaign and select Bulk.
4. Click the uploader and select a file in an unsupported format (e.g., .pdf, .docx or .txt).
5. Click 'Bulk Upload bulk leads'.
6. Verify the upload is rejected and an appropriate unsupported-format error message is displayed.</t>
  </si>
  <si>
    <t>Upload is rejected and an appropriate unsupported-format error is displayed.</t>
  </si>
  <si>
    <t>RLC_BU_010</t>
  </si>
  <si>
    <t>Verify that invalid records in the uploaded file are identified or rejected and appropriate validation information is displayed.</t>
  </si>
  <si>
    <t>1. Navigate to https://192.168.2.80:8443 and log in as AA (102186).
2. Click Recruitment Leads Mgmt &gt; Campaign Management.
3. Click the 3-dots menu of an Active campaign and select Bulk.
4. Click Download Sample Template and click Save.
5. Prepare a file with a mix of valid rows and invalid rows (e.g., blank Name, invalid NIC format, non-numeric Contact number, invalid Branch).
6. Click the 'Please upload .XLS, .XLSX or .CSV files only' uploader and select the prepared file.
7. Click 'Bulk Upload bulk leads', then click OK.
8. Verify invalid records are identified/rejected and the failure reason for each is displayed.</t>
  </si>
  <si>
    <t>Invalid records are identified/rejected and appropriate validation information is displayed.</t>
  </si>
  <si>
    <t>RLC_BU_011</t>
  </si>
  <si>
    <t>Verify successful file processing and uploaded count.</t>
  </si>
  <si>
    <t>1. Navigate to https://192.168.2.80:8443 and log in as AA (102186).
2. Click Recruitment Leads Mgmt &gt; Campaign Management.
3. Click the 3-dots menu of an Active campaign and select Bulk.
4. Click Download Sample Template and click Save.
5. Open the downloaded template, delete the sample rows and enter Sri Lankan lead data (Name, NIC, Contact number, Branch mandatory; Address_1-3, City, Occupation optional) with unique NIC and contact numbers, then save the file. Note the number of rows entered.
6. Click the 'Please upload .XLS, .XLSX or .CSV files only' uploader and select the prepared file.
7. Click 'Bulk Upload bulk leads', then click OK.
8. Verify the file is processed successfully and the successfully uploaded count equals the number of valid rows.</t>
  </si>
  <si>
    <t>File is processed successfully and the uploaded count reflects successfully uploaded records.</t>
  </si>
  <si>
    <t>RLC_BU_012</t>
  </si>
  <si>
    <t>Verify upload success/error notification.</t>
  </si>
  <si>
    <t>1. Navigate to https://192.168.2.80:8443 and log in as AA (102186).
2. Click Recruitment Leads Mgmt &gt; Campaign Management.
3. Click the 3-dots menu of an Active campaign and select Bulk.
4. Upload a valid lead file and click 'Bulk Upload bulk leads'.
5. Note the notification displayed (e.g., 'File successfully uploaded').
6. Upload an invalid lead file and note the notification displayed.
7. Verify an appropriate success or error notification is shown for each upload outcome.</t>
  </si>
  <si>
    <t>System provides an appropriate success or error notification corresponding to the upload outcome.</t>
  </si>
  <si>
    <t>RLC_BU_013</t>
  </si>
  <si>
    <t>Verify upload summary information.</t>
  </si>
  <si>
    <t>1. Navigate to https://192.168.2.80:8443 and log in as AA (102186).
2. Click Recruitment Leads Mgmt &gt; Campaign Management.
3. Click the 3-dots menu of an Active campaign and select Bulk.
4. Upload a valid lead file and click 'Bulk Upload bulk leads', then OK.
5. Open the upload summary for the campaign.
6. Verify the summary displays the file name, upload date, successfully uploaded count and failed count.</t>
  </si>
  <si>
    <t>Summary displays the file name, upload date, and successfully uploaded count.</t>
  </si>
  <si>
    <t>RLC_BU_014</t>
  </si>
  <si>
    <t>Verify successfully uploaded leads.</t>
  </si>
  <si>
    <t>1. Precondition: a lead file has been uploaded successfully to an Active campaign.
2. Navigate to https://192.168.2.80:8443 and log in as AA (102186).
3. Click Recruitment Leads Mgmt &gt; Campaign Management.
4. Open the upload summary and click the uploaded file to view its leads.
5. Verify the successfully uploaded leads are displayed with the details entered in the file.</t>
  </si>
  <si>
    <t>Successfully uploaded leads are displayed.</t>
  </si>
  <si>
    <t>RLC_BU_015</t>
  </si>
  <si>
    <t>Verify invalid records handling.</t>
  </si>
  <si>
    <t>1. Navigate to https://192.168.2.80:8443 and log in as AA (102186).
2. Click Recruitment Leads Mgmt &gt; Campaign Management.
3. Click the 3-dots menu of an Active campaign and select Bulk.
4. Upload a file containing 3 valid rows and 2 invalid rows (e.g., missing mandatory NIC).
5. Click 'Bulk Upload bulk leads', then OK.
6. Open the upload summary and the failed list details.
7. Verify the invalid records are listed as failed with reasons and are not counted in the successfully uploaded count.</t>
  </si>
  <si>
    <t>Invalid records are identified as errors and are not counted as successfully uploaded records.</t>
  </si>
  <si>
    <t>RLC_BU_016</t>
  </si>
  <si>
    <t>Verify empty file handling.</t>
  </si>
  <si>
    <t>1. Navigate to https://192.168.2.80:8443 and log in as AA (102186).
2. Click Recruitment Leads Mgmt &gt; Campaign Management.
3. Click the 3-dots menu of an Active campaign and select Bulk.
4. Download the sample template, delete all data rows (keep only headers or leave it fully empty) and save.
5. Click the 'Please upload .XLS, .XLSX or .CSV files only' uploader and select the prepared file.
6. Click 'Bulk Upload bulk leads'.
7. Verify the upload is rejected and an appropriate empty-file error message is displayed.</t>
  </si>
  <si>
    <t>Upload is rejected and an appropriate empty-file/error message is displayed.</t>
  </si>
  <si>
    <t>RLC_BU_017</t>
  </si>
  <si>
    <t>Verify upload failure handling.</t>
  </si>
  <si>
    <t>1. Navigate to https://192.168.2.80:8443 and log in as AA (102186).
2. Click Recruitment Leads Mgmt &gt; Campaign Management.
3. Click the 3-dots menu of an Active campaign and select Bulk.
4. Select a corrupted/unreadable .xlsx file (e.g., a renamed non-Excel file) in the uploader.
5. Click 'Bulk Upload bulk leads'.
6. Verify the upload fails and an appropriate error message is displayed.</t>
  </si>
  <si>
    <t>Upload fails and an appropriate error message is displayed.</t>
  </si>
  <si>
    <t>RLC_BU_018</t>
  </si>
  <si>
    <t>Verify duplicate NIC handling.</t>
  </si>
  <si>
    <t>1. Navigate to https://192.168.2.80:8443 and log in as AA (102186).
2. Click Recruitment Leads Mgmt &gt; Campaign Management.
3. Click the 3-dots menu of an Active campaign and select Bulk.
4. Click Download Sample Template and click Save.
5. Prepare a file containing two rows with the same NIC and one row with a NIC that already exists in the system.
6. Click the 'Please upload .XLS, .XLSX or .CSV files only' uploader and select the prepared file.
7. Click 'Bulk Upload bulk leads', then click OK.
8. Open the upload summary and failed list.
9. Verify duplicate NIC records are flagged/rejected per system validation and are not treated as unique valid leads.</t>
  </si>
  <si>
    <t>Duplicate NIC records are handled according to the system validation behavior and are not incorrectly treated as unique valid leads.</t>
  </si>
  <si>
    <t>RLC_BU_019</t>
  </si>
  <si>
    <t>Verify invalid template/structure handling.</t>
  </si>
  <si>
    <t>1. Navigate to https://192.168.2.80:8443 and log in as AA (102186).
2. Click Recruitment Leads Mgmt &gt; Campaign Management.
3. Click the 3-dots menu of an Active campaign and select Bulk.
4. Prepare a file with a different structure (renamed/reordered headers or extra unrelated columns) instead of the sample template.
5. Click the 'Please upload .XLS, .XLSX or .CSV files only' uploader and select the prepared file.
6. Click 'Bulk Upload bulk leads'.
7. Verify the file is rejected and an appropriate template/structure validation error is displayed.</t>
  </si>
  <si>
    <t>File is rejected and an appropriate template/structure validation error is displayed.</t>
  </si>
  <si>
    <t>RLC_CS_001</t>
  </si>
  <si>
    <t>Campaign Summary</t>
  </si>
  <si>
    <t>TS: Campaign Summary</t>
  </si>
  <si>
    <t>Verify Marketing-created campaign visibility.</t>
  </si>
  <si>
    <t>1. Navigate to https://192.168.2.80:8443 and log in as a Marketing Team user.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Log out and log in as AA (102186).
7. Click Recruitment Leads Mgmt &gt; Campaign Management.
8. Verify the Marketing-created campaign is visible to Agency Admin in the campaign list.</t>
  </si>
  <si>
    <t>The Marketing-created campaign is visible to Agency Admin.</t>
  </si>
  <si>
    <t>RLC_CS_002</t>
  </si>
  <si>
    <t>Verify Agency Admin-created campaign visibility.</t>
  </si>
  <si>
    <t>1. Navigate to https://192.168.2.80:8443 and log in as AA (102186).
2. Click Recruitment Leads Mgmt &gt; Campaign Management.
3. Click the '+' button to open the Create Campaign form.
4. Enter a unique Campaign Name, select Start Date and End Date (Start Date before End Date) using the date pickers, enter Campaign Budget and a Lead Target below 500.
5. Click Proceed, then click OK.
6. Log out and log in as a Marketing Team user.
7. Click Recruitment Leads Mgmt &gt; Campaign Management.
8. Verify the Agency Admin-created campaign is visible to the Marketing Team.</t>
  </si>
  <si>
    <t>The Agency Admin-created campaign is visible to Marketing Team.</t>
  </si>
  <si>
    <t>RLC_CS_003</t>
  </si>
  <si>
    <t>Verify creator campaign access.</t>
  </si>
  <si>
    <t>1. Navigate to https://192.168.2.80:8443 and log in as AA (102186).
2. Click Recruitment Leads Mgmt &gt; Campaign Management.
3. Open a campaign created by AA and click its 3-dots menu.
4. Check that View, Edit, Bulk (add leads), Activate and Deactivate are available.
5. Log out, log in as a Marketing Team user and repeat steps 2–4 for a Marketing-created campaign.
6. Verify each creator role can access all campaign functions permitted to that role without user-specific restrictions.</t>
  </si>
  <si>
    <t>Each creator can access campaign functionality permitted to that role without user-specific restrictions.</t>
  </si>
  <si>
    <t>RLC_CS_004</t>
  </si>
  <si>
    <t>Verify equivalent-role campaign access.</t>
  </si>
  <si>
    <t>1. Precondition: two Marketing Team users exist; user 1 has created a campaign.
2. Navigate to https://192.168.2.80:8443 and log in as Marketing user 2.
3. Click Recruitment Leads Mgmt &gt; Campaign Management.
4. Open the campaign created by Marketing user 1 and click its 3-dots menu.
5. Try Edit, Bulk, Activate/Deactivate.
6. Verify Marketing user 2 has the same full campaign access as the creator (role-based, not user-based).</t>
  </si>
  <si>
    <t>Equivalent-role users receive equivalent permitted campaign access.</t>
  </si>
  <si>
    <t>RLC_CS_005</t>
  </si>
  <si>
    <t>Verify consistent role-based access.</t>
  </si>
  <si>
    <t>1. Precondition: two users with the same role (e.g., two Agency Admin users) exist.
2. Log in as the first user, open Recruitment Leads Mgmt &gt; Campaign Management and note the available actions on a campaign.
3. Log out and log in as the second user with the same role.
4. Open the same campaign and note the available actions.
5. Verify both users receive the same role-based access.</t>
  </si>
  <si>
    <t>Both users receive the same role-based access.</t>
  </si>
  <si>
    <t>RLC_CS_006</t>
  </si>
  <si>
    <t>Verify campaign status transition.</t>
  </si>
  <si>
    <t>1. Navigate to https://192.168.2.80:8443 and log in as AA (102186).
2. Click Recruitment Leads Mgmt &gt; Campaign Management.
3. Click the 3-dots menu of an Active campaign and select Deactivate; click OK.
4. Check the campaign status in the list.
5. Click the 3-dots menu again and select Activate; click OK.
6. Verify the campaign status changes correctly between Active and Inactive/Deactivated.</t>
  </si>
  <si>
    <t>Campaign status changes correctly between active and inactive/deactivated states.</t>
  </si>
  <si>
    <t>RLC_CS_007</t>
  </si>
  <si>
    <t>Verify campaign modification restriction.</t>
  </si>
  <si>
    <t>1. Navigate to https://192.168.2.80:8443 and log in as a Marketing Team user; create a campaign.
2. Log out and log in as AA (102186).
3. Click Recruitment Leads Mgmt &gt; Campaign Management.
4. Open the Marketing-created campaign and click its 3-dots menu.
5. Try to Edit, Bulk upload, Activate or Deactivate the campaign.
6. Verify modification controls are unavailable or the action is denied (view-only access).</t>
  </si>
  <si>
    <t>Modification controls are unavailable or the action is denied.</t>
  </si>
  <si>
    <t>RLC_CS_008</t>
  </si>
  <si>
    <t>Verify campaign chronological ordering.</t>
  </si>
  <si>
    <t>1. Precondition: at least three campaigns with different creation dates exist.
2. Navigate to https://192.168.2.80:8443 and log in as AA (102186).
3. Click Recruitment Leads Mgmt &gt; Campaign Management.
4. Note the order of campaigns in the list.
5. Verify campaigns are displayed in the required chronological (date) order.</t>
  </si>
  <si>
    <t>Campaigns are displayed in the required chronological order.</t>
  </si>
  <si>
    <t>RLC_CS_009</t>
  </si>
  <si>
    <t>Verify campaign status display.</t>
  </si>
  <si>
    <t>1. Precondition: Active, Inactive and Expired campaigns exist.
2. Navigate to https://192.168.2.80:8443 and log in as AA (102186).
3. Click Recruitment Leads Mgmt &gt; Campaign Management.
4. Check the status column for each campaign.
5. Verify each campaign displays its applicable status (Active/Ongoing, Inactive, Expired).</t>
  </si>
  <si>
    <t>Each campaign displays its applicable status.</t>
  </si>
  <si>
    <t>RLC_CS_010</t>
  </si>
  <si>
    <t>Verify lead summary and counts.</t>
  </si>
  <si>
    <t>1. Precondition: a campaign has leads in different statuses.
2. Navigate to https://192.168.2.80:8443 and log in as AA (102186).
3. Click Recruitment Leads Mgmt &gt; Campaign Management.
4. Open the campaign's lead summary.
5. Count the leads shown in each status and compare with the summary counts.
6. Verify the overall lead summary shows status and remarks, and the counts match the leads shown.</t>
  </si>
  <si>
    <t>Overall lead summary and lead status/count information are displayed and correspond to the leads shown.</t>
  </si>
  <si>
    <t>RLC_HA_001</t>
  </si>
  <si>
    <t>HOB / Agency Supervisor</t>
  </si>
  <si>
    <t>TS: HOB/Agency Supervisor Role</t>
  </si>
  <si>
    <t>Verify HOB campaign list access.</t>
  </si>
  <si>
    <t>1. Precondition: AA has created a campaign assigned to branch WD01.
2. Navigate to https://192.168.2.80:8443 and log in as HOB/AH (102117).
3. Click Recruitment Leads Mgmt.
4. Check the campaign list.
5. Verify the HOB can access the campaign list and sees only campaigns assigned to their branch.</t>
  </si>
  <si>
    <t>HOB can access the permitted campaign list.</t>
  </si>
  <si>
    <t>RLC_HA_002</t>
  </si>
  <si>
    <t>Verify lead details display.</t>
  </si>
  <si>
    <t>1. Navigate to https://192.168.2.80:8443 and log in as HOB/AH (102117).
2. Click Recruitment Leads Mgmt and select a campaign in Ongoing status assigned to branch WD01.
3. Click the view icon of a lead.
4. Verify the lead details (Name, NIC, Contact number, Branch, Address, status) are displayed.</t>
  </si>
  <si>
    <t>Lead details are displayed.</t>
  </si>
  <si>
    <t>RLC_HA_003</t>
  </si>
  <si>
    <t>Verify lead changes.</t>
  </si>
  <si>
    <t>1. Navigate to https://192.168.2.80:8443 and log in as HOB/AH (102117).
2. Click Recruitment Leads Mgmt and select a campaign in Ongoing status assigned to branch WD01.
3. Click the edit icon of a lead.
4. Update editable lead details (e.g., Address, City, Contact number with a unique value).
5. Click Save/Approve as applicable, then OK.
6. Reopen the lead.
7. Verify the lead changes are saved and displayed.</t>
  </si>
  <si>
    <t>Lead changes are saved and displayed.</t>
  </si>
  <si>
    <t>RLC_HA_004</t>
  </si>
  <si>
    <t>Verify lead workflow progression.</t>
  </si>
  <si>
    <t>1. Precondition: a lead aged 22 or above exists in an Ongoing campaign assigned to the HOB's branch.
2. Navigate to https://192.168.2.80:8443 and log in as HOB/AH (102117).
3. Click Recruitment Leads Mgmt and select a campaign in Ongoing status assigned to branch WD01.
4. Open the lead, set status to 'Agreed for the interview', schedule date to today and enter a remark.
5. Click Approved, then OK.
6. Verify the lead proceeds to the next workflow state (Immediate Supervisor approval).</t>
  </si>
  <si>
    <t>Lead proceeds to the next permitted workflow state.</t>
  </si>
  <si>
    <t>RLC_HA_005</t>
  </si>
  <si>
    <t>Verify lead creation for permitted campaign.</t>
  </si>
  <si>
    <t>1. Precondition: a campaign that allows lead entry is assigned to branch WD01 and is Ongoing.
2. Navigate to https://192.168.2.80:8443 and log in as HOB/AH (102117).
3. Click Recruitment Leads Mgmt and select a campaign in Ongoing status assigned to branch WD01.
4. Click the '+' button.
5. Fill the lead form with unique Sri Lankan data (Name, NIC, Contact number, Email).
6. Submit the form and click OK.
7. Verify the lead is created successfully under the permitted campaign.</t>
  </si>
  <si>
    <t>Lead is created successfully for the permitted campaign.</t>
  </si>
  <si>
    <t>RLC_HA_006</t>
  </si>
  <si>
    <t>Verify lead creation.</t>
  </si>
  <si>
    <t>1. Precondition: a campaign that allows lead entry is assigned to branch WD01 and is Ongoing.
2. Navigate to https://192.168.2.80:8443 and log in as AS (102119).
3. Click Recruitment Leads Mgmt and select a campaign in Ongoing status assigned to branch WD01.
4. Click the '+' button.
5. Fill the lead form with unique Sri Lankan data (Name, NIC, Contact number, Email).
6. Set interview status 'Agreed for the interview', schedule date today, enter a remark, click Approve, then OK.
7. Verify the lead is created successfully.</t>
  </si>
  <si>
    <t>Lead is created successfully.</t>
  </si>
  <si>
    <t>RLC_HA_007</t>
  </si>
  <si>
    <t>Verify individual lead entry restriction.</t>
  </si>
  <si>
    <t>1. Precondition: a campaign configured so leads cannot be entered is assigned to branch WD01.
2. Navigate to https://192.168.2.80:8443 and log in as HOB/AH (102117).
3. Click Recruitment Leads Mgmt and open that campaign.
4. Check whether the '+' (add lead) button is available.
5. Log out and repeat as AS (102119).
6. Verify lead entry is unavailable or access is denied, while existing assigned leads remain actionable by HOB.</t>
  </si>
  <si>
    <t>Lead entry is unavailable or access is denied.</t>
  </si>
  <si>
    <t>RLC_HA_008</t>
  </si>
  <si>
    <t>Verify AS lead routing.</t>
  </si>
  <si>
    <t>1. Navigate to https://192.168.2.80:8443 and log in as AS (102119).
2. Click Recruitment Leads Mgmt and select a campaign in Ongoing status assigned to branch WD01.
3. Click '+', fill the lead form with unique Sri Lankan data, set 'Agreed for the interview', today's date and a remark.
4. Click Approve, then OK, and log out.
5. Log in as HOB/AH (102117) and open Recruitment Leads Mgmt.
6. Verify the AS-created lead is routed to the HOB and is available for HOB action (edit icon).</t>
  </si>
  <si>
    <t>AS-created lead is routed to HOB as required.</t>
  </si>
  <si>
    <t>RLC_HA_009</t>
  </si>
  <si>
    <t>Verify unauthorized access.</t>
  </si>
  <si>
    <t>1. Precondition: a campaign is assigned to branch WD01 with leads.
2. Log in as a HOB/AS of a different branch and open Recruitment Leads Mgmt.
3. Check whether the WD01 campaign or its leads are visible.
4. Log in as AS (102119) and try to approve/change the interview status of a lead (HOB-only action).
5. Verify unauthorized access is denied and protected actions cannot be performed.</t>
  </si>
  <si>
    <t>Unauthorized access is denied and protected actions cannot be performed.</t>
  </si>
  <si>
    <t>RLC_HA_010</t>
  </si>
  <si>
    <t>Verify candidate approval.</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</si>
  <si>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Set status 'Agreed for the interview', schedule date today, enter a remark.
6. Click Approved, then OK.
7. Verify the approval is accepted and the candidate status/workflow is updated.</t>
  </si>
  <si>
    <t>Approval is accepted and candidate status/workflow is updated.</t>
  </si>
  <si>
    <t>RLC_HA_011</t>
  </si>
  <si>
    <t>Verify Agreed for Interview status.</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</si>
  <si>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'Agreed for the interview', select today's date and enter a remark.
6. Click Approved, then OK.
7. Verify the candidate status changes to Agreed for Interview.</t>
  </si>
  <si>
    <t>Candidate status changes to Agreed for Interview.</t>
  </si>
  <si>
    <t>RLC_HA_012</t>
  </si>
  <si>
    <t>Verify Reschedule Interview status.</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</si>
  <si>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'Reschedule the interview', select a future date and enter a remark.
6. Save and click OK.
7. Verify the candidate status changes to Reschedule Interview with the new date.</t>
  </si>
  <si>
    <t>Candidate status changes to Reschedule Interview.</t>
  </si>
  <si>
    <t>RLC_HA_013</t>
  </si>
  <si>
    <t>Verify Reject Interview status.</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</si>
  <si>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'Reject the interview' and enter a remark.
6. Save and click OK.
7. Verify the candidate status changes to Reject Interview and the lead does not progress.</t>
  </si>
  <si>
    <t>Candidate status changes to Reject Interview.</t>
  </si>
  <si>
    <t>RLC_HA_014</t>
  </si>
  <si>
    <t>Verify Cannot Be Contacted status.</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</si>
  <si>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interview status 'Cannot be contacted' and enter a remark.
6. Save and click OK.
7. Verify the candidate status changes to Cannot Be Contacted.</t>
  </si>
  <si>
    <t>Candidate status changes to Cannot Be Contacted.</t>
  </si>
  <si>
    <t>RLC_HA_015</t>
  </si>
  <si>
    <t>Verify interview scheduling.</t>
  </si>
  <si>
    <t>1. Precondition: a lead aged 22 or above exists in an Ongoing campaign assigned to the HOB's branch.
2. Navigate to https://192.168.2.80:8443 and log in as HOB/AH (102117).
3. Click Recruitment Leads Mgmt and select a campaign in Ongoing status assigned to branch WD01.
4. Open the lead via the edit icon.
5. Select 'Agreed for the interview' and pick the interview schedule date (today) with the date picker; enter a remark.
6. Click Approved, then OK.
7. Reopen the lead.
8. Verify the interview is scheduled and the date is retained.</t>
  </si>
  <si>
    <t>Interview is scheduled and the scheduling information is retained.</t>
  </si>
  <si>
    <t>RLC_HA_016</t>
  </si>
  <si>
    <t>Verify workflow for candidates above 22.</t>
  </si>
  <si>
    <t>1. Precondition: a lead aged above 22 (e.g., 30) exists.
2. Navigate to https://192.168.2.80:8443 and log in as HOB/AH (102117).
3. Click Recruitment Leads Mgmt and select a campaign in Ongoing status assigned to branch WD01.
4. Approve the lead with 'Agreed for the interview', today's date and a remark; click OK and log out.
5. Log in as Immediate Supervisor (102118), open Approval Tray, select the lead, enter today's date and a remark, click Approved, then OK.
6. Log in as HOB/AH (102117), open Recruitment Leads Mgmt and click Proceed for the lead.
7. Verify the lead follows HOB → Immediate Supervisor → Onboarding without requiring AA approval or supporting documents.</t>
  </si>
  <si>
    <t>Candidate follows the workflow applicable to candidates above 22.</t>
  </si>
  <si>
    <t>RLC_HA_017</t>
  </si>
  <si>
    <t>Verify supporting-document validation.</t>
  </si>
  <si>
    <t>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Without uploading supporting documents (Prospect 100, Field Visits, VIP Visits), set 'Agreed for the interview', today's date and a remark.
6. Click Approved.
7. Verify the system blocks progression and prompts for the required supporting documents.</t>
  </si>
  <si>
    <t>Required supporting-document validation prevents the applicable progression.</t>
  </si>
  <si>
    <t>RLC_HA_018</t>
  </si>
  <si>
    <t>Verify required documentation availability.</t>
  </si>
  <si>
    <t>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Select each required document type from the dropdown and upload a pdf/png/jpg file under 10 MB.
6. Set 'Agreed for the interview', today's date and a remark; click Approved, then OK.
7. Verify the candidate is allowed to proceed to Immediate Supervisor approval.</t>
  </si>
  <si>
    <t>Candidate can proceed when the applicable required supporting documentation is present.</t>
  </si>
  <si>
    <t>RLC_HA_019</t>
  </si>
  <si>
    <t>Verify age threshold for exactly 22.</t>
  </si>
  <si>
    <t>1. Precondition: a lead whose NIC gives an age of exactly 22 exists.
2. Navigate to https://192.168.2.80:8443 and log in as HOB/AH (102117).
3. Click Recruitment Leads Mgmt and select a campaign in Ongoing status assigned to branch WD01.
4. Approve the lead with 'Agreed for the interview', today's date and a remark; click OK and log out.
5. Log in as Immediate Supervisor (102118) and approve the lead from Approval Tray.
6. Log in as HOB/AH (102117) and check whether Proceed is available or AA approval/supporting documents are required.
7. Verify the age-22 candidate follows the defined threshold workflow consistently (per the flow document, age exactly 22 follows the ≥22 flow).</t>
  </si>
  <si>
    <t>System applies the requirement's defined age-threshold workflow consistently to exactly 22 without treating the candidate as above 22.</t>
  </si>
  <si>
    <t>RLC_AT_001</t>
  </si>
  <si>
    <t>Approval Tray</t>
  </si>
  <si>
    <t>TS: Approval Tray</t>
  </si>
  <si>
    <t>Verify Agency Admin approval workflow visibility.</t>
  </si>
  <si>
    <t>1. Precondition: a lead aged under 22 exists in an Ongoing campaign assigned to the HOB's branch. HOB and Immediate Supervisor have approved it.
2. Navigate to https://192.168.2.80:8443 and log in as AA (102186).
3. Open Approval Tray.
4. Search for the lead.
5. Verify the lead appears in the Agency Admin approval workflow.</t>
  </si>
  <si>
    <t>The lead appears in the Agency Admin approval workflow.</t>
  </si>
  <si>
    <t>RLC_AT_002</t>
  </si>
  <si>
    <t>Verify lead approval.</t>
  </si>
  <si>
    <t>1. Precondition: a lead is pending in the Immediate Supervisor Approval Tray.
2. Navigate to https://192.168.2.80:8443 and log in as Immediate Supervisor (102118).
3. Open Approval Tray and select the lead approved by the HOB.
4. Select today's interview date and enter a remark.
5. Click Approved, then OK.
6. Verify the approval succeeds and the lead's approval status is updated.</t>
  </si>
  <si>
    <t>Approval succeeds and approval status is updated.</t>
  </si>
  <si>
    <t>RLC_AT_003</t>
  </si>
  <si>
    <t>Verify lead rejection.</t>
  </si>
  <si>
    <t>1. Precondition: a lead is pending in the Immediate Supervisor Approval Tray.
2. Navigate to https://192.168.2.80:8443 and log in as Immediate Supervisor (102118).
3. Open Approval Tray and select the lead.
4. Enter a rejection remark.
5. Click Reject, then OK.
6. Verify the rejection succeeds and the lead's status is updated to Rejected.</t>
  </si>
  <si>
    <t>Rejection succeeds and rejection status is updated.</t>
  </si>
  <si>
    <t>RLC_AT_004</t>
  </si>
  <si>
    <t>Verify approved workflow transition.</t>
  </si>
  <si>
    <t>1. Precondition: a lead aged 22+ approved by HOB is pending with Immediate Supervisor.
2. Navigate to https://192.168.2.80:8443 and log in as Immediate Supervisor (102118).
3. Open Approval Tray, select the lead, enter today's date and a remark, click Approved, then OK.
4. Log out and log in as HOB/AH (102117).
5. Open Recruitment Leads Mgmt and locate the lead.
6. Verify the lead transitions to the approved state and Proceed is available.</t>
  </si>
  <si>
    <t>Lead transitions to the approved workflow state.</t>
  </si>
  <si>
    <t>RLC_AT_005</t>
  </si>
  <si>
    <t>Verify rejected workflow transition.</t>
  </si>
  <si>
    <t>1. Precondition: a lead is pending with the Immediate Supervisor.
2. Navigate to https://192.168.2.80:8443 and log in as Immediate Supervisor (102118).
3. Open Approval Tray, select the lead, enter a remark, click Reject, then OK.
4. Log out and log in as HOB/AH (102117).
5. Open Recruitment Leads Mgmt and locate the lead.
6. Verify the lead is in the Rejected state and cannot proceed to onboarding.</t>
  </si>
  <si>
    <t>Lead transitions to the rejected workflow state.</t>
  </si>
  <si>
    <t>RLC_AT_006</t>
  </si>
  <si>
    <t>Verify approval/rejection access restriction.</t>
  </si>
  <si>
    <t>1. Precondition: a lead is pending in the Immediate Supervisor Approval Tray.
2. Navigate to https://192.168.2.80:8443 and log in as AS (102119).
3. Check whether Approval Tray is available and whether the pending lead can be approved/rejected.
4. Log out and repeat with an unrelated user (e.g., HOB of another branch).
5. Verify approval/rejection controls are unavailable or the action is denied for unauthorized roles.</t>
  </si>
  <si>
    <t>Approval/rejection controls are unavailable or the action is denied.</t>
  </si>
  <si>
    <t>RLC_AT_007</t>
  </si>
  <si>
    <t>Verify approved lead onboarding.</t>
  </si>
  <si>
    <t>1. Precondition: a lead has completed all required approvals (IS for 22+, IS and AA for under 22).
2. Navigate to https://192.168.2.80:8443 and log in as HOB/AH (102117).
3. Click Recruitment Leads Mgmt and locate the approved lead.
4. Click Proceed.
5. Click Agent Management &gt; Agent Onboarding.
6. Verify the approved lead appears in onboarding as a New Lead with its details carried over.</t>
  </si>
  <si>
    <t>Approved lead moves to onboarding as required.</t>
  </si>
  <si>
    <t>RLC_AT_008</t>
  </si>
  <si>
    <t>TS: Approvals</t>
  </si>
  <si>
    <t>Verify recruitment/onboarding notifications.</t>
  </si>
  <si>
    <t>1. Precondition: a lead is ready for HOB approval.
2. Navigate to https://192.168.2.80:8443 and log in as HOB/AH (102117).
3. Approve the lead and log out.
4. Log in as Immediate Supervisor (102118) and check the in-app notifications.
5. Reject a different lead as Immediate Supervisor, log out and log in as HOB/AH (102117); check notifications.
6. Verify in-app approval/rejection notifications are generated as implemented without remarks (Email/SMS is not expected).</t>
  </si>
  <si>
    <t>Recruitment/onboarding approval/rejection notifications are generated as implemented; Email/SMS dispatch is not treated as a required successful outcome and notifications do not contain remarks.</t>
  </si>
  <si>
    <t>RLC_DM_001</t>
  </si>
  <si>
    <t>Document Management</t>
  </si>
  <si>
    <t>TS: Document Management</t>
  </si>
  <si>
    <t>Verify supported image upload.</t>
  </si>
  <si>
    <t>1. Precondition: a lead aged under 22 exists in an Ongoing campaign assigned to the HOB's branch.
2. Navigate to https://192.168.2.80:8443 and log in as HOB/AH (102117).
3. Click Recruitment Leads Mgmt and select a campaign in Ongoing status assigned to branch WD01.
4. Open the lead via the edit icon.
5. Select a document type from the dropdown and upload a .png/.jpg image under 10 MB.
6. Save and click OK.
7. Verify the image is uploaded and associated with the correct lead/candidate.</t>
  </si>
  <si>
    <t>Supported image is uploaded successfully and associated with the relevant lead/candidate.</t>
  </si>
  <si>
    <t>RLC_DM_002</t>
  </si>
  <si>
    <t>Verify document viewing.</t>
  </si>
  <si>
    <t>1. Precondition: a document has been uploaded for a lead.
2. Navigate to https://192.168.2.80:8443 and log in as HOB/AH (102117).
3. Click Recruitment Leads Mgmt and select a campaign in Ongoing status assigned to branch WD01.
4. Open the lead and click the view (eye) icon of the uploaded document.
5. Verify the document opens and can be viewed successfully.</t>
  </si>
  <si>
    <t>Document can be viewed successfully.</t>
  </si>
  <si>
    <t>RLC_DM_003</t>
  </si>
  <si>
    <t>Verify previously uploaded document.</t>
  </si>
  <si>
    <t>1. Precondition: a document was uploaded for a lead earlier.
2. Navigate to https://192.168.2.80:8443 and log in as HOB/AH (102117).
3. Click Recruitment Leads Mgmt and select a campaign in Ongoing status assigned to branch WD01.
4. Open the lead and check the uploaded documents section.
5. Verify the previously uploaded document remains visible.</t>
  </si>
  <si>
    <t>Previously uploaded document remains visible.</t>
  </si>
  <si>
    <t>RLC_DM_004</t>
  </si>
  <si>
    <t>Verify document history.</t>
  </si>
  <si>
    <t>1. Precondition: several documents were uploaded for a lead at different times.
2. Navigate to https://192.168.2.80:8443 and log in as HOB/AH (102117).
3. Click Recruitment Leads Mgmt and select a campaign in Ongoing status assigned to branch WD01.
4. Open the lead and check the document list.
5. Verify all previously uploaded document records/history are displayed.</t>
  </si>
  <si>
    <t>Previously uploaded document records/history are displayed.</t>
  </si>
  <si>
    <t>RLC_DM_005</t>
  </si>
  <si>
    <t>Verify document access restriction.</t>
  </si>
  <si>
    <t>1. Precondition: a document is uploaded for a lead of branch WD01.
2. Log in as a user who has no access to that lead (e.g., HOB/AS of a different branch).
3. Try to open the lead and its document from Recruitment Leads Mgmt.
4. Try to open the document directly via its URL.
5. Verify access to the document is denied.</t>
  </si>
  <si>
    <t>Access to the document is denied.</t>
  </si>
  <si>
    <t>RLC_DM_006</t>
  </si>
  <si>
    <t>Verify document viewing without download.</t>
  </si>
  <si>
    <t>1. Precondition: a document has been uploaded for a lead.
2. Navigate to https://192.168.2.80:8443 and log in as HOB/AH (102117).
3. Click Recruitment Leads Mgmt and select a campaign in Ongoing status assigned to branch WD01.
4. Open the lead and click the view (eye) icon of the document.
5. Check whether a download option is available.
6. Verify the document can be viewed and download is not offered (download is not supported).</t>
  </si>
  <si>
    <t>Documents can be viewed; document download is not expected as supported functionality.</t>
  </si>
  <si>
    <t>RLC_LM_001</t>
  </si>
  <si>
    <t>Lead Management</t>
  </si>
  <si>
    <t>TS: Lead Management</t>
  </si>
  <si>
    <t>Verify valid lead creation.</t>
  </si>
  <si>
    <t>1. Precondition: an Ongoing campaign that allows lead entry is assigned to the HOB's branch
2. Navigate to https://192.168.2.80:8443 and log in as HOB/AH (102117)
3. Click Recruitment Leads Mgmt and open a campaign with status Ongoing
4. Click '+' and enter lead details with a unique Sri Lankan NIC, name, contact number and branch
5. Fill the remaining fields (Address, City) and click Submit, then OK
6. Verify the lead is created and listed under the campaign</t>
  </si>
  <si>
    <t>RLC_LM_002</t>
  </si>
  <si>
    <t>Verify mandatory-field validation.</t>
  </si>
  <si>
    <t>1. Navigate to https://192.168.2.80:8443 and log in as HOB/AH (102117)
2. Click Recruitment Leads Mgmt and open a campaign with status Ongoing
3. Click '+' to open the lead form
4. Leave mandatory fields (Name, NIC, Contact number, Branch) blank
5. Click Submit
6. Verify the lead is not created and mandatory-field validation messages are displayed</t>
  </si>
  <si>
    <t>Lead is not created and mandatory-field validation is displayed.</t>
  </si>
  <si>
    <t>RLC_LM_003</t>
  </si>
  <si>
    <t>Verify invalid NIC validation.</t>
  </si>
  <si>
    <t>1. Navigate to https://192.168.2.80:8443 and log in as HOB/AH (102117)
2. Click Recruitment Leads Mgmt and open a campaign with status Ongoing
3. Click '+' to open the lead form
4. Enter an invalid NIC (e.g. 12345ABC or wrong length) with other mandatory fields valid
5. Click Submit
6. Verify the invalid NIC is rejected and an appropriate NIC validation message is displayed</t>
  </si>
  <si>
    <t>System rejects the invalid NIC and displays appropriate validation.</t>
  </si>
  <si>
    <t>RLC_LM_004</t>
  </si>
  <si>
    <t>Verify invalid contact number validation.</t>
  </si>
  <si>
    <t>1. Navigate to https://192.168.2.80:8443 and log in as HOB/AH (102117)
2. Click Recruitment Leads Mgmt and open a campaign with status Ongoing
3. Click '+' to open the lead form
4. Enter an invalid contact number (e.g. 07712 or alphabetic characters) with other mandatory fields valid
5. Click Submit
6. Verify the invalid contact number is rejected and an appropriate validation message is displayed</t>
  </si>
  <si>
    <t>System rejects the invalid contact number and displays appropriate validation.</t>
  </si>
  <si>
    <t>RLC_LM_005</t>
  </si>
  <si>
    <t>Verify updated lead details.</t>
  </si>
  <si>
    <t>1. Precondition: a lead exists under an Ongoing campaign in the HOB's branch
2. Navigate to https://192.168.2.80:8443 and log in as HOB/AH (102117)
3. Click Recruitment Leads Mgmt and open a campaign with status Ongoing
4. Click the Edit icon for the lead
5. Update editable details (e.g. address, city) and click Save/Submit, then OK
6. Reopen the lead
7. Verify the updated details are retained and displayed</t>
  </si>
  <si>
    <t>Updated details are retained and displayed.</t>
  </si>
  <si>
    <t>RLC_LM_006</t>
  </si>
  <si>
    <t>Verify new lead status.</t>
  </si>
  <si>
    <t>1. Precondition: a lead exists under an Ongoing campaign in the HOB's branch
2. Navigate to https://192.168.2.80:8443 and log in as HOB/AH (102117)
3. Click Recruitment Leads Mgmt and open a campaign with status Ongoing
4. Open the lead and set Interview Status (e.g. Agreed for the interview) with schedule date = current date
5. Enter a remark and click Approved, then OK
6. Verify the new lead status is saved and displayed in the lead list</t>
  </si>
  <si>
    <t>New lead status is saved and displayed.</t>
  </si>
  <si>
    <t>RLC_LM_007</t>
  </si>
  <si>
    <t>TS: Lead Management – Recruitment Funnel</t>
  </si>
  <si>
    <t>Verify funnel stage counts.</t>
  </si>
  <si>
    <t>1. Navigate to https://192.168.2.80:8443 and log in as Agency Admin (102186)
2. Click Recruitment Leads Mgmt &gt; Recruitment Funnel
3. Note the counts for Prospect, HOB interview, MBD interview, SLII exam, Code Issued, Code activate and Clearance
4. Compare each stage count with the DB count (al_recruitment_lead_details, al_recruitment_slii_exam_results, al_ob_witness_details, al_agent_master)
5. Verify the count at each funnel stage matches the leads in that stage</t>
  </si>
  <si>
    <t>Count at each funnel stage corresponds to the leads in that stage.</t>
  </si>
  <si>
    <t>RLC_LM_008</t>
  </si>
  <si>
    <t>TS: Lead Management – Move to Onboarding</t>
  </si>
  <si>
    <t>Verify lead onboarding transition.</t>
  </si>
  <si>
    <t>1. Precondition: a lead (age &gt;= 22) is approved by HOB and Immediate Supervisor (102118)
2. Navigate to https://192.168.2.80:8443 and log in as HOB/AH (102117)
3. Click Recruitment Leads Mgmt and open the approved lead
4. Click Proceed and then OK
5. Click Agent Management &gt; Agent Onboarding
6. Verify the lead appears as a New Lead in Agent Onboarding</t>
  </si>
  <si>
    <t>Lead moves to onboarding successfully.</t>
  </si>
  <si>
    <t>RLC_LM_009</t>
  </si>
  <si>
    <t>Verify invalid transition.</t>
  </si>
  <si>
    <t>1. Precondition: a lead whose required approvals are not completed (e.g. pending Immediate Supervisor approval)
2. Navigate to https://192.168.2.80:8443 and log in as HOB/AH (102117)
3. Click Recruitment Leads Mgmt and open the lead
4. Attempt to click Proceed to move it to onboarding
5. Verify the transition is prevented and an appropriate validation/error message is displayed</t>
  </si>
  <si>
    <t>Transition is prevented and an appropriate validation/error is displayed.</t>
  </si>
  <si>
    <t>RLC_LM_010</t>
  </si>
  <si>
    <t>Verify duplicate lead/NIC.</t>
  </si>
  <si>
    <t>1. Precondition: a lead exists with a known Sri Lankan NIC
2. Navigate to https://192.168.2.80:8443 and log in as HOB/AH (102117)
3. Click Recruitment Leads Mgmt and open a campaign with status Ongoing
4. Click '+' and enter a new lead using the same NIC as the existing lead
5. Click Submit
6. Verify the duplicate lead/NIC is detected and prevented or handled per the implemented validation</t>
  </si>
  <si>
    <t>Duplicate lead/NIC is detected and the system prevents or handles the duplicate according to the implemented validation.</t>
  </si>
  <si>
    <t>RLC_SLII_001</t>
  </si>
  <si>
    <t>SLII Exam Management</t>
  </si>
  <si>
    <t>US 1.5</t>
  </si>
  <si>
    <t>Verify Agency Admin section access.</t>
  </si>
  <si>
    <t>1. Navigate to https://192.168.2.80:8443 and log in as Agency Admin (102186)
2. Click Recruitment Leads Mgmt
3. Click Recruitment Leads Mgmt &gt; SLII Exam Management
4. Verify the SLII Exam Management screen with the Upload SLII Exam Result section and instructions is accessible</t>
  </si>
  <si>
    <t>Agency Admin can access the section.</t>
  </si>
  <si>
    <t>RLC_SLII_002</t>
  </si>
  <si>
    <t>Verify restricted section access.</t>
  </si>
  <si>
    <t>1. Navigate to https://192.168.2.80:8443 and log in as HOB/AH (102117)
2. Click Recruitment Leads Mgmt
3. Look for the SLII Exam Management option
4. Repeat for AS (102119) and Immediate Supervisor (102118)
5. Verify access is denied or the SLII Exam Management section is unavailable for non-AA roles</t>
  </si>
  <si>
    <t>Access is denied or the section is unavailable.</t>
  </si>
  <si>
    <t>RLC_SLII_003</t>
  </si>
  <si>
    <t>Verify file upload.</t>
  </si>
  <si>
    <t>1. Navigate to https://192.168.2.80:8443 and log in as Agency Admin (102186)
2. Click Recruitment Leads Mgmt &gt; SLII Exam Management
3. Click Download Sample Template and Save
4. Fill the template with valid Sri Lankan SLII exam data and save
5. Click the "Please upload .xlsx or .xls or .csv files only" uploader and select the file
6. Click the Upload button and then OK
7. Verify the file uploads successfully</t>
  </si>
  <si>
    <t>File uploads successfully.</t>
  </si>
  <si>
    <t>RLC_SLII_004</t>
  </si>
  <si>
    <t>Verify file upload processing.</t>
  </si>
  <si>
    <t>1. Prepare a valid SLII file (.xlsx/.xls/.csv) from the sample template
2. Navigate to https://192.168.2.80:8443 and log in as Agency Admin (102186)
3. Click Recruitment Leads Mgmt &gt; SLII Exam Management
4. Click the "Please upload .xlsx or .xls or .csv files only" uploader and select the file
5. Click the Upload button and then OK
6. Open the uploaded record via the Eye icon
7. Verify the file is processed and uploaded successfully with its records</t>
  </si>
  <si>
    <t>RLC_SLII_005</t>
  </si>
  <si>
    <t>Verify repeated file upload.</t>
  </si>
  <si>
    <t>1. Precondition: at least one SLII file already uploaded
2. Navigate to https://192.168.2.80:8443 and log in as Agency Admin (102186)
3. Click Recruitment Leads Mgmt &gt; SLII Exam Management
4. Click the "Please upload .xlsx or .xls or .csv files only" uploader and select a second valid SLII file
5. Click the Upload button and then OK
6. Verify the repeated file uploads successfully</t>
  </si>
  <si>
    <t>RLC_SLII_006</t>
  </si>
  <si>
    <t>Verify upload listing.</t>
  </si>
  <si>
    <t>1. Precondition: at least one SLII file uploaded
2. Navigate to https://192.168.2.80:8443 and log in as Agency Admin (102186)
3. Click Recruitment Leads Mgmt &gt; SLII Exam Management
4. View the Uploaded SLII Exam Result list
5. Verify the listing displays file name, upload date, upload time and Eye icon</t>
  </si>
  <si>
    <t>Listing displays the file name, upload date, and upload time.</t>
  </si>
  <si>
    <t>RLC_SLII_007</t>
  </si>
  <si>
    <t>Verify uploaded file details.</t>
  </si>
  <si>
    <t>1. Precondition: at least one SLII file uploaded
2. Navigate to https://192.168.2.80:8443 and log in as Agency Admin (102186)
3. Click Recruitment Leads Mgmt &gt; SLII Exam Management
4. Click the Eye icon on an uploaded file
5. Verify the uploaded file details (exam records) are displayed</t>
  </si>
  <si>
    <t>Uploaded file details are displayed.</t>
  </si>
  <si>
    <t>RLC_SLII_008</t>
  </si>
  <si>
    <t>Verify multiple upload history.</t>
  </si>
  <si>
    <t>1. Prepare two valid SLII files
2. Navigate to https://192.168.2.80:8443 and log in as Agency Admin (102186)
3. Click Recruitment Leads Mgmt &gt; SLII Exam Management
4. Click the "Please upload .xlsx or .xls or .csv files only" uploader and select each file one after another (repeat upload)
5. Click the Upload button and then OK
6. Verify both uploads are retained and displayed in the upload history</t>
  </si>
  <si>
    <t>Multiple uploads are retained and displayed in the upload history.</t>
  </si>
  <si>
    <t>RLC_SLII_009</t>
  </si>
  <si>
    <t>Verify multiple exam attempts.</t>
  </si>
  <si>
    <t>1. Prepare two SLII files with different exam attempts for the same candidate NIC
2. Navigate to https://192.168.2.80:8443 and log in as Agency Admin (102186)
3. Click Recruitment Leads Mgmt &gt; SLII Exam Management
4. Click the "Please upload .xlsx or .xls or .csv files only" uploader and select each attempt file one after another
5. Click the Upload button and then OK
6. Verify multiple exam attempts are retained and distinguishable through the upload records</t>
  </si>
  <si>
    <t>Multiple exam attempts are retained and distinguishable through the available upload records.</t>
  </si>
  <si>
    <t>RLC_SLII_010</t>
  </si>
  <si>
    <t>Verify monthly upload history.</t>
  </si>
  <si>
    <t>1. Prepare multiple valid SLII files to upload within the same month
2. Navigate to https://192.168.2.80:8443 and log in as Agency Admin (102186)
3. Click Recruitment Leads Mgmt &gt; SLII Exam Management
4. Click the "Please upload .xlsx or .xls or .csv files only" uploader and select each file on different days/times in the month
5. Click the Upload button and then OK
6. Verify all valid uploads within the month are retained in history</t>
  </si>
  <si>
    <t>All valid uploads within the month are retained in history.</t>
  </si>
  <si>
    <t>RLC_SLII_011</t>
  </si>
  <si>
    <t>Verify separate upload records.</t>
  </si>
  <si>
    <t>1. Prepare two valid SLII files with the same file name
2. Navigate to https://192.168.2.80:8443 and log in as Agency Admin (102186)
3. Click Recruitment Leads Mgmt &gt; SLII Exam Management
4. Click the "Please upload .xlsx or .xls or .csv files only" uploader and select both files with the same name one after another
5. Click the Upload button and then OK
6. Verify both uploads are separate records and upload history is not overwritten</t>
  </si>
  <si>
    <t>Both uploads are handled as separate upload records where permitted, without incorrectly overwriting upload history.</t>
  </si>
  <si>
    <t>RLC_SLII_012</t>
  </si>
  <si>
    <t>Verify upload timestamps.</t>
  </si>
  <si>
    <t>1. Prepare two valid SLII files (same file name allowed)
2. Navigate to https://192.168.2.80:8443 and log in as Agency Admin (102186)
3. Click Recruitment Leads Mgmt &gt; SLII Exam Management
4. Click the "Please upload .xlsx or .xls or .csv files only" uploader and select both files a few minutes apart
5. Click the Upload button and then OK
6. Verify each record shows its upload timestamp and the records remain distinguishable</t>
  </si>
  <si>
    <t>Records show the applicable upload timestamps and remain distinguishable.</t>
  </si>
  <si>
    <t>RLC_SLII_013</t>
  </si>
  <si>
    <t>Verify upload chronological order.</t>
  </si>
  <si>
    <t>1. Prepare three valid SLII files
2. Navigate to https://192.168.2.80:8443 and log in as Agency Admin (102186)
3. Click Recruitment Leads Mgmt &gt; SLII Exam Management
4. Click the "Please upload .xlsx or .xls or .csv files only" uploader and select the files one after another, noting the upload order
5. Click the Upload button and then OK
6. Verify upload records are displayed in chronological order</t>
  </si>
  <si>
    <t>Upload records are displayed in chronological order.</t>
  </si>
  <si>
    <t>RLC_SLII_014</t>
  </si>
  <si>
    <t>Verify unsupported file format.</t>
  </si>
  <si>
    <t>1. Navigate to https://192.168.2.80:8443 and log in as Agency Admin (102186)
2. Click Recruitment Leads Mgmt &gt; SLII Exam Management
3. Click the "Please upload .xlsx or .xls or .csv files only" uploader and select an unsupported file (e.g. .pdf, .docx, .txt)
4. Click the Upload button
5. Verify the upload is rejected with an appropriate supported-format error</t>
  </si>
  <si>
    <t>Upload is rejected with an appropriate supported-format error.</t>
  </si>
  <si>
    <t>RLC_SLII_015</t>
  </si>
  <si>
    <t>Verify invalid template.</t>
  </si>
  <si>
    <t>1. Navigate to https://192.168.2.80:8443 and log in as Agency Admin (102186)
2. Click Recruitment Leads Mgmt &gt; SLII Exam Management
3. Prepare an .xlsx file whose columns do not match the sample template
4. Click the "Please upload .xlsx or .xls or .csv files only" uploader and select the file
5. Click the Upload button
6. Verify the upload is rejected with an appropriate template validation message</t>
  </si>
  <si>
    <t>Upload is rejected with an appropriate template validation message.</t>
  </si>
  <si>
    <t>RLC_SLII_016</t>
  </si>
  <si>
    <t>Verify invalid structure.</t>
  </si>
  <si>
    <t>1. Navigate to https://192.168.2.80:8443 and log in as Agency Admin (102186)
2. Click Recruitment Leads Mgmt &gt; SLII Exam Management
3. Prepare a file with correct headers but invalid structure/data (missing columns, wrong data types)
4. Click the "Please upload .xlsx or .xls or .csv files only" uploader and select the file
5. Click the Upload button
6. Verify the file is rejected and an appropriate structure error is displayed</t>
  </si>
  <si>
    <t>File is rejected and an appropriate structure error is displayed.</t>
  </si>
  <si>
    <t>RLC_SLII_017</t>
  </si>
  <si>
    <t>Verify upload failure.</t>
  </si>
  <si>
    <t>1. Navigate to https://192.168.2.80:8443 and log in as Agency Admin (102186)
2. Click Recruitment Leads Mgmt &gt; SLII Exam Management
3. Prepare a corrupted file saved with .xlsx extension
4. Click the "Please upload .xlsx or .xls or .csv files only" uploader and select the file
5. Click the Upload button
6. Verify the upload fails and an appropriate error message is displayed</t>
  </si>
  <si>
    <t>RLC_SLII_018</t>
  </si>
  <si>
    <t>Verify empty file.</t>
  </si>
  <si>
    <t>1. Navigate to https://192.168.2.80:8443 and log in as Agency Admin (102186)
2. Click Recruitment Leads Mgmt &gt; SLII Exam Management
3. Prepare an empty .xlsx file (headers only or no data)
4. Click the "Please upload .xlsx or .xls or .csv files only" uploader and select the file
5. Click the Upload button
6. Verify the upload is rejected with an appropriate empty-file error</t>
  </si>
  <si>
    <t>Upload is rejected with an appropriate empty-file error.</t>
  </si>
  <si>
    <t>RLC_SLII_019</t>
  </si>
  <si>
    <t>Verify no file selected.</t>
  </si>
  <si>
    <t>1. Navigate to https://192.168.2.80:8443 and log in as Agency Admin (102186)
2. Click Recruitment Leads Mgmt &gt; SLII Exam Management
3. Do not select any file in the uploader
4. Click the Upload button
5. Verify the upload is not performed and a no-file-selected message is displayed</t>
  </si>
  <si>
    <t>Upload is not performed and an appropriate no-file-selected message is displayed.</t>
  </si>
  <si>
    <t>RLC_BL_001</t>
  </si>
  <si>
    <t>Blacklisting</t>
  </si>
  <si>
    <t>TS: Blacklisting Upload &amp; View</t>
  </si>
  <si>
    <t>1. Navigate to https://192.168.2.80:8443 and log in as Agency Admin (102186)
2. Open the dashboard
3. Click the Blacklisting card
4. Verify the Blacklisting screen with the Upload Blacklisting section is accessible</t>
  </si>
  <si>
    <t>RLC_BL_002</t>
  </si>
  <si>
    <t>1. Navigate to https://192.168.2.80:8443 and log in as HOB/AH (102117)
2. Look for the Blacklisting card/menu
3. Repeat for AS (102119), Immediate Supervisor (102118) and LOP (102043)
4. Verify access is denied or the Blacklisting section is unavailable for non-AA roles</t>
  </si>
  <si>
    <t>RLC_BL_003</t>
  </si>
  <si>
    <t>Verify blacklist upload instructions.</t>
  </si>
  <si>
    <t>1. Navigate to https://192.168.2.80:8443 and log in as Agency Admin (102186)
2. Click the Blacklisting card
3. Review the Upload Blacklisting section
4. Verify the applicable blacklist upload instructions are displayed</t>
  </si>
  <si>
    <t>Applicable blacklist upload instructions are displayed.</t>
  </si>
  <si>
    <t>RLC_BL_004</t>
  </si>
  <si>
    <t>Verify blacklist file upload.</t>
  </si>
  <si>
    <t>1. Navigate to https://192.168.2.80:8443 and log in as Agency Admin (102186)
2. Click the Blacklisting card
3. Click Download Sample Template and Save
4. Fill the template with valid Sri Lankan candidate data (NIC, name) and save
5. Click the "Please upload .xlsx or .xls or .csv files only" uploader and select the updated Blacklisting file
6. Click the Upload button and then OK
7. Verify the blacklist file uploads successfully</t>
  </si>
  <si>
    <t>Blacklist file uploads successfully.</t>
  </si>
  <si>
    <t>RLC_BL_005</t>
  </si>
  <si>
    <t>Verify blacklist processing.</t>
  </si>
  <si>
    <t>1. Prepare a valid blacklist file (.xlsx/.xls/.csv) from the sample template
2. Navigate to https://192.168.2.80:8443 and log in as Agency Admin (102186)
3. Click the Blacklisting card
4. Click the "Please upload .xlsx or .xls or .csv files only" uploader and select the prepared file
5. Click the Upload button and then OK
6. Verify the blacklist file is processed and uploaded successfully</t>
  </si>
  <si>
    <t>RLC_BL_006</t>
  </si>
  <si>
    <t>Verify repeated blacklist upload.</t>
  </si>
  <si>
    <t>1. Precondition: at least one blacklist file already uploaded
2. Navigate to https://192.168.2.80:8443 and log in as Agency Admin (102186)
3. Click the Blacklisting card
4. Click the "Please upload .xlsx or .xls or .csv files only" uploader and select a second valid blacklist file
5. Click the Upload button and then OK
6. Verify the repeated blacklist file uploads successfully</t>
  </si>
  <si>
    <t>RLC_BL_007</t>
  </si>
  <si>
    <t>Verify uploaded blacklist details.</t>
  </si>
  <si>
    <t>1. Precondition: at least one blacklist file uploaded
2. Navigate to https://192.168.2.80:8443 and log in as Agency Admin (102186)
3. Click the Blacklisting card
4. View the Uploaded Blacklisting section
5. Verify the uploaded blacklist is visible with file name and upload date</t>
  </si>
  <si>
    <t>Uploaded blacklist is visible with file name and upload date.</t>
  </si>
  <si>
    <t>RLC_BL_008</t>
  </si>
  <si>
    <t>Verify multiple blacklist records.</t>
  </si>
  <si>
    <t>1. Prepare two valid blacklist files
2. Navigate to https://192.168.2.80:8443 and log in as Agency Admin (102186)
3. Click the Blacklisting card
4. Click the "Please upload .xlsx or .xls or .csv files only" uploader and select each file one after another
5. Click the Upload button and then OK
6. Verify multiple upload records are retained and visible</t>
  </si>
  <si>
    <t>Multiple upload records are retained and visible.</t>
  </si>
  <si>
    <t>RLC_BL_009</t>
  </si>
  <si>
    <t>Verify blacklist history/audit.</t>
  </si>
  <si>
    <t>1. Precondition: multiple blacklist files uploaded over time
2. Navigate to https://192.168.2.80:8443 and log in as Agency Admin (102186)
3. Click the Blacklisting card
4. Review the upload history list
5. Verify blacklist upload history/audit records are displayed for all uploads</t>
  </si>
  <si>
    <t>Blacklist upload history/audit records are displayed.</t>
  </si>
  <si>
    <t>RLC_BL_010</t>
  </si>
  <si>
    <t>Verify blacklist detection during recruitment.</t>
  </si>
  <si>
    <t>1. Upload a blacklist file (AA 102186) containing a test candidate's Sri Lankan NIC
2. Navigate to https://192.168.2.80:8443 and log in as HOB/AH (102117)
3. Click Recruitment Leads Mgmt and open a campaign with status Ongoing
4. Click '+' and enter a lead using the blacklisted NIC
5. Click Submit / attempt to proceed with recruitment
6. Verify the candidate is identified as blacklisted and blocked during recruitment</t>
  </si>
  <si>
    <t>Candidate is identified as blacklisted during recruitment.</t>
  </si>
  <si>
    <t>RLC_BL_011</t>
  </si>
  <si>
    <t>Verify blacklist detection during onboarding.</t>
  </si>
  <si>
    <t>1. Upload a blacklist file (AA 102186) containing a test candidate's Sri Lankan NIC
2. Navigate to https://192.168.2.80:8443 and log in as Agency Admin (102186)
3. Click Agent Management &gt; Agent Onboarding and click '+'
4. Select NIC and enter the blacklisted NIC
5. Click Proceed
6. Verify the candidate is identified as blacklisted during onboarding</t>
  </si>
  <si>
    <t>Candidate is identified as blacklisted during onboarding.</t>
  </si>
  <si>
    <t>RLC_BL_012</t>
  </si>
  <si>
    <t>Verify non-blacklisted candidate.</t>
  </si>
  <si>
    <t>1. Precondition: latest blacklist uploaded; pick a unique Sri Lankan NIC not in it
2. Navigate to https://192.168.2.80:8443 and log in as HOB/AH (102117)
3. Click Recruitment Leads Mgmt and open a campaign with status Ongoing
4. Click '+' and enter lead details with a unique Sri Lankan NIC, name, contact number and branch
5. Click Submit and continue the recruitment/onboarding flow
6. Verify the candidate is not identified as blacklisted and can proceed</t>
  </si>
  <si>
    <t>Candidate is not identified as blacklisted based on the uploaded blacklist.</t>
  </si>
  <si>
    <t>RLC_BL_013</t>
  </si>
  <si>
    <t>Verify blacklist template acceptance.</t>
  </si>
  <si>
    <t>1. Prepare a file that matches the downloaded sample template
2. Navigate to https://192.168.2.80:8443 and log in as Agency Admin (102186)
3. Click the Blacklisting card
4. Click the "Please upload .xlsx or .xls or .csv files only" uploader and select the template-matching file
5. Click the Upload button and then OK
6. Verify the template is accepted for processing</t>
  </si>
  <si>
    <t>Template is accepted for processing.</t>
  </si>
  <si>
    <t>RLC_BL_014</t>
  </si>
  <si>
    <t>Verify invalid blacklist template.</t>
  </si>
  <si>
    <t>1. Prepare an .xlsx file whose columns do not match the sample template
2. Navigate to https://192.168.2.80:8443 and log in as Agency Admin (102186)
3. Click the Blacklisting card
4. Click the "Please upload .xlsx or .xls or .csv files only" uploader and select the invalid template file
5. Click the Upload button and then OK
6. Verify the upload is rejected with an appropriate template error</t>
  </si>
  <si>
    <t>Upload is rejected with an appropriate template error.</t>
  </si>
  <si>
    <t>RLC_BL_015</t>
  </si>
  <si>
    <t>Verify invalid blacklist structure.</t>
  </si>
  <si>
    <t>1. Prepare a file with correct headers but invalid structure/data (missing columns, wrong data types)
2. Navigate to https://192.168.2.80:8443 and log in as Agency Admin (102186)
3. Click the Blacklisting card
4. Click the "Please upload .xlsx or .xls or .csv files only" uploader and select the invalid structure file
5. Click the Upload button and then OK
6. Verify the upload is rejected with an appropriate structure validation error</t>
  </si>
  <si>
    <t>Upload is rejected with an appropriate structure validation error.</t>
  </si>
  <si>
    <t>RLC_BL_016</t>
  </si>
  <si>
    <t>Verify empty blacklist file.</t>
  </si>
  <si>
    <t>1. Prepare an empty .xlsx file (headers only or no data)
2. Navigate to https://192.168.2.80:8443 and log in as Agency Admin (102186)
3. Click the Blacklisting card
4. Click the "Please upload .xlsx or .xls or .csv files only" uploader and select the empty file
5. Click the Upload button and then OK
6. Verify the upload is rejected with an appropriate empty-file error</t>
  </si>
  <si>
    <t>RLC_BL_017</t>
  </si>
  <si>
    <t>Verify blacklist upload failure.</t>
  </si>
  <si>
    <t>1. Prepare a corrupted file saved with .xlsx extension
2. Navigate to https://192.168.2.80:8443 and log in as Agency Admin (102186)
3. Click the Blacklisting card
4. Click the "Please upload .xlsx or .xls or .csv files only" uploader and select the corrupted file
5. Click the Upload button and then OK
6. Verify the upload fails and an appropriate error message is displayed</t>
  </si>
  <si>
    <t>RLC_BL_018</t>
  </si>
  <si>
    <t>Verify prevented blacklist upload.</t>
  </si>
  <si>
    <t>1. Navigate to https://192.168.2.80:8443 and log in as Agency Admin (102186)
2. Click the Blacklisting card
3. Do not select any file (or select an unsupported format such as .pdf)
4. Click the Upload button
5. Verify the upload is prevented and an appropriate error message is displayed</t>
  </si>
  <si>
    <t>Upload is prevented and an appropriate error message is displayed.</t>
  </si>
  <si>
    <t>RLC_BL_019</t>
  </si>
  <si>
    <t>Verify failed blacklist upload.</t>
  </si>
  <si>
    <t>1. Navigate to https://192.168.2.80:8443 and log in as Agency Admin (102186)
2. Click the Blacklisting card
3. Upload an invalid/corrupted blacklist file so the upload fails
4. Review the upload history list
5. Create a lead with a NIC present only in the failed file
6. Verify the failure is clearly indicated and the failed file is not treated as a successful/active blacklist</t>
  </si>
  <si>
    <t>Upload failure is clearly indicated and the failed file is not treated as a successful blacklist upload.</t>
  </si>
  <si>
    <t>RLC_BL_020</t>
  </si>
  <si>
    <t>Verify latest blacklist validation.</t>
  </si>
  <si>
    <t>1. Upload blacklist file A (AA 102186) containing NIC-1
2. Upload blacklist file B containing NIC-2 but not NIC-1
3. Navigate to https://192.168.2.80:8443 and log in as HOB/AH (102117)
4. Click Recruitment Leads Mgmt and open a campaign with status Ongoing
5. Create a lead with NIC-2, then a lead with NIC-1
6. Verify validation uses the latest blacklist: NIC-2 is blocked and NIC-1 is not flagged from the prior blacklist</t>
  </si>
  <si>
    <t>Candidate validation uses the latest blacklist according to the requirement; prior blacklist data is not incorrectly used as the current validation set.</t>
  </si>
  <si>
    <t>RLC_BL_021</t>
  </si>
  <si>
    <t>Verify duplicate blacklist records.</t>
  </si>
  <si>
    <t>1. Prepare a blacklist file containing the same NIC in two rows
2. Navigate to https://192.168.2.80:8443 and log in as Agency Admin (102186)
3. Click the Blacklisting card
4. Click the "Please upload .xlsx or .xls or .csv files only" uploader and select the file with duplicate records
5. Click the Upload button and then OK
6. Verify duplicate records are handled without creating multiple distinct blacklist identities for the same candidate</t>
  </si>
  <si>
    <t>Duplicate records are handled without incorrectly creating multiple distinct blacklist identities for the same candidate.</t>
  </si>
  <si>
    <t>RLC_BL_022</t>
  </si>
  <si>
    <t>Verify blacklist upload restriction.</t>
  </si>
  <si>
    <t>1. Navigate to https://192.168.2.80:8443 and log in as HOB/AH (102117)
2. Attempt to open the Blacklisting screen via menu or direct URL
3. Repeat for AS (102119) and LOP (102043)
4. Verify the upload action is unavailable or denied for non-AA roles</t>
  </si>
  <si>
    <t>Upload action is unavailable or denied.</t>
  </si>
  <si>
    <t>RLC_GV_001</t>
  </si>
  <si>
    <t>General Validation</t>
  </si>
  <si>
    <t>TS: User Wise – Marketing/AA</t>
  </si>
  <si>
    <t>Verify Marketing Team campaign permissions.</t>
  </si>
  <si>
    <t>1. Navigate to https://192.168.2.80:8443 and log in as a Marketing Team user
2. Click Recruitment Leads Mgmt &gt; Campaign Management
3. Create, edit, activate/deactivate and bulk upload leads on a campaign
4. Open a campaign created by Agency Admin and try edit actions
5. Verify Marketing Team can perform only the campaign actions permitted by requirements</t>
  </si>
  <si>
    <t>Marketing Team can perform only the campaign actions permitted by the requirements.</t>
  </si>
  <si>
    <t>RLC_GV_002</t>
  </si>
  <si>
    <t>TS: General Validations – Access Rights</t>
  </si>
  <si>
    <t>Verify HOB campaign/lead permissions.</t>
  </si>
  <si>
    <t>1. Navigate to https://192.168.2.80:8443 and log in as HOB/AH (102117)
2. Click Recruitment Leads Mgmt
3. Open a campaign assigned to the HOB's branch; view, add, edit and proceed leads
4. Attempt restricted actions (edit/deactivate campaign, view other branch campaigns)
5. Verify permitted campaign/lead actions succeed and restricted actions are denied</t>
  </si>
  <si>
    <t>HOB can perform permitted campaign/lead actions and restricted actions are denied.</t>
  </si>
  <si>
    <t>RLC_GV_003</t>
  </si>
  <si>
    <t>Verify AS permissions and restrictions.</t>
  </si>
  <si>
    <t>1. Navigate to https://192.168.2.80:8443 and log in as AS (102119)
2. Click Recruitment Leads Mgmt
3. Enter a lead in a campaign assigned to the AS's branch
4. Attempt restricted actions (approve lead, access other-branch campaigns, edit campaign)
5. Verify permitted actions succeed and branch/role restrictions are enforced</t>
  </si>
  <si>
    <t>AS can perform permitted actions and branch/role restrictions are enforced.</t>
  </si>
  <si>
    <t>RLC_GV_004</t>
  </si>
  <si>
    <t>Verify Agency Admin role-based access.</t>
  </si>
  <si>
    <t>1. Navigate to https://192.168.2.80:8443 and log in as Agency Admin (102186)
2. Access Campaign Management, SLII Exam Management, Blacklisting and Approval Tray
3. Perform AA actions (create campaign, upload files, approve)
4. Open a Marketing-created campaign and check the available actions
5. Verify Agency Admin receives the role-based access specified for those functions</t>
  </si>
  <si>
    <t>Agency Admin receives the role-based access specified for those functions.</t>
  </si>
  <si>
    <t>RLC_GV_005</t>
  </si>
  <si>
    <t>Verify protected screen access.</t>
  </si>
  <si>
    <t>1. Navigate to https://192.168.2.80:8443 and log in as HOB/AH (102117)
2. Note URLs of AA-only screens (SLII Exam Management, Blacklisting) captured from an AA session
3. Paste those URLs directly into the browser
4. Verify access to protected screens is denied or unavailable</t>
  </si>
  <si>
    <t>Access to protected screens is denied or unavailable.</t>
  </si>
  <si>
    <t>RLC_GV_006</t>
  </si>
  <si>
    <t>Verify equivalent-role access consistency.</t>
  </si>
  <si>
    <t>1. Precondition: two users with the same role (e.g. two Marketing users)
2. Log in as user 1 and create a campaign
3. Log out and log in as user 2 of the same role
4. Open the campaign and perform edit/activate/deactivate
5. Verify access is determined by role and is consistent for equivalent roles</t>
  </si>
  <si>
    <t>Access is determined by role and is consistent for equivalent roles.</t>
  </si>
  <si>
    <t>RLC_GV_007</t>
  </si>
  <si>
    <t>TS: General Validations – UI Consistency</t>
  </si>
  <si>
    <t>Verify Campaign Cost/Budget terminology.</t>
  </si>
  <si>
    <t>1. Navigate to https://192.168.2.80:8443 and log in as Agency Admin (102186)
2. Click Recruitment Leads Mgmt &gt; Campaign Management and click '+'
3. Note the Cost/Budget label on the create form
4. Check the same label on the edit form, campaign list and campaign summary
5. Verify Campaign Cost/Budget terminology is consistent across applicable screens</t>
  </si>
  <si>
    <t>Campaign Cost/Budget terminology is consistent with the implemented requirement across applicable screens.</t>
  </si>
  <si>
    <t>RLC_GV_008</t>
  </si>
  <si>
    <t>TS: General Validations – Error Handling</t>
  </si>
  <si>
    <t>Verify missing data handling.</t>
  </si>
  <si>
    <t>1. Navigate to https://192.168.2.80:8443 and log in as Agency Admin (102186)
2. Open screens with optional data missing (campaign without leads, lead without address, empty upload history)
3. Review each screen's displayed values
4. Verify missing data is handled clearly without fabricated or misleading values</t>
  </si>
  <si>
    <t>Missing data is handled clearly and does not display fabricated or misleading values.</t>
  </si>
  <si>
    <t>RLC_GV_009</t>
  </si>
  <si>
    <t>Verify invalid input.</t>
  </si>
  <si>
    <t>1. Navigate to https://192.168.2.80:8443 and log in as Agency Admin (102186)
2. Open the create campaign and create lead forms
3. Enter invalid inputs (special characters in name, negative budget, invalid NIC, end date before start date)
4. Click Submit/Proceed
5. Verify invalid input is rejected and an appropriate validation/error message is displayed</t>
  </si>
  <si>
    <t>Invalid input is rejected and an appropriate validation/error message is displayed.</t>
  </si>
  <si>
    <t>RLC_GV_010</t>
  </si>
  <si>
    <t>TS: File Uploading</t>
  </si>
  <si>
    <t>Verify upload failure reporting.</t>
  </si>
  <si>
    <t>1. Navigate to https://192.168.2.80:8443 and log in as Agency Admin (102186)
2. Open Lead Bulk Upload, SLII Exam Management and Blacklisting uploaders
3. Upload an invalid or unsupported file in each
4. Review the result message and upload history
5. Verify failure is clearly indicated with an appropriate message and not reported as a successful upload</t>
  </si>
  <si>
    <t>Failure is clearly indicated with an appropriate error/validation message and is not reported as a successful upload.</t>
  </si>
  <si>
    <t>RLC_GV_011</t>
  </si>
  <si>
    <t>TS: Document Management – Multi-language</t>
  </si>
  <si>
    <t>Verify multi-language document scope.</t>
  </si>
  <si>
    <t>1. Navigate to https://192.168.2.80:8443 and log in as Agency Admin (102186)
2. Open the document upload/view area
3. Upload/view a Sinhala or Tamil document
4. Verify multi-language document rendering/download is not treated as an expected functional requirement</t>
  </si>
  <si>
    <t>Multi-language document rendering/download is not treated as an expected functional requirement.</t>
  </si>
  <si>
    <t>Per ASPL test scenario doc: Not in Scope</t>
  </si>
  <si>
    <t>RLC_GV_012</t>
  </si>
  <si>
    <t>Verify annual NIC data cleansing scope.</t>
  </si>
  <si>
    <t>1. Navigate to https://192.168.2.80:8443 and log in as Agency Admin (102186)
2. Review the available lead/NIC maintenance functions
3. Check whether any annual NIC data cleansing option or job is exposed
4. Verify annual NIC data cleansing is not treated as an in-scope test expectation</t>
  </si>
  <si>
    <t>Annual data cleansing for existing NIC is not treated as an in-scope functional test expectation.</t>
  </si>
  <si>
    <t>Per ASPL test scenario doc: Not in scope</t>
  </si>
  <si>
    <t>RLC_GV_013</t>
  </si>
  <si>
    <t>TS: General Validations – Notifications</t>
  </si>
  <si>
    <t>Verify approval/rejection notification implementation.</t>
  </si>
  <si>
    <t>1. Precondition: a lead pending HOB approval
2. Navigate to https://192.168.2.80:8443 and log in as HOB/AH (102117)
3. Approve the lead, then log in as Immediate Supervisor (102118) and reject/approve it
4. Check in-app notifications for each receiving user
5. Verify implemented approval/rejection notifications are generated; Email/SMS dispatch is excluded</t>
  </si>
  <si>
    <t>Implemented approval/rejection notifications can be validated; Email/SMS dispatch is excluded because it is not currently done.</t>
  </si>
  <si>
    <t>Per ASPL test scenario doc: Email and SMS is not Done. Recruitment and onboarding approval and rejection notifications are done without remark.</t>
  </si>
  <si>
    <t>RLC_GV_014</t>
  </si>
  <si>
    <t>TS: Approvals – Workflow Governance</t>
  </si>
  <si>
    <t>Verify notification remarks behavior.</t>
  </si>
  <si>
    <t>1. Precondition: a lead pending approval
2. Navigate to https://192.168.2.80:8443 and log in as HOB/AH (102117)
3. Enter a remark and approve/reject the lead
4. Log in as the recipient and open the notification
5. Verify the notification matches the current implementation and remarks are not expected in it</t>
  </si>
  <si>
    <t>Notification is validated against the current implementation; remarks are not expected within the notification.</t>
  </si>
  <si>
    <t>Per ASPL test scenario doc: Notifications are without remark.</t>
  </si>
  <si>
    <t>Aishwarya</t>
  </si>
  <si>
    <t>Not executed: Marked 'Not in scope' by ASPL in the test scenario document; there is no functional behaviour to automate.</t>
  </si>
  <si>
    <t>Invalid</t>
  </si>
  <si>
    <t>Agent Onboarding &amp; Recruitment Support - UAT Sept 2026 (Automation)</t>
  </si>
</sst>
</file>

<file path=xl/styles.xml><?xml version="1.0" encoding="utf-8"?>
<styleSheet xmlns="http://schemas.openxmlformats.org/spreadsheetml/2006/main">
  <numFmts count="5">
    <numFmt numFmtId="176" formatCode="dd/mmm/yyyy"/>
    <numFmt numFmtId="177" formatCode="_ &quot;₹&quot;\ * #,##0.00_ ;_ &quot;₹&quot;\ * \-#,##0.00_ ;_ &quot;₹&quot;\ * &quot;-&quot;??_ ;_ @_ "/>
    <numFmt numFmtId="178" formatCode="_ * #,##0_ ;_ * \-#,##0_ ;_ * &quot;-&quot;_ ;_ @_ "/>
    <numFmt numFmtId="179" formatCode="_ &quot;₹&quot;\ * #,##0_ ;_ &quot;₹&quot;\ * \-#,##0_ ;_ &quot;₹&quot;\ * &quot;-&quot;_ ;_ @_ "/>
    <numFmt numFmtId="180" formatCode="_ * #,##0.00_ ;_ * \-#,##0.00_ ;_ * &quot;-&quot;??_ ;_ @_ "/>
  </numFmts>
  <fonts count="47">
    <font>
      <sz val="11"/>
      <color theme="1"/>
      <name val="Calibri"/>
      <charset val="134"/>
    </font>
    <font>
      <b/>
      <sz val="10"/>
      <color rgb="FFFFFFFF"/>
      <name val="Arial"/>
      <charset val="1"/>
    </font>
    <font>
      <sz val="10"/>
      <color rgb="FF000000"/>
      <name val="Arial"/>
      <charset val="1"/>
    </font>
    <font>
      <b/>
      <sz val="10"/>
      <color rgb="FF1F4E78"/>
      <name val="Arial"/>
      <charset val="1"/>
    </font>
    <font>
      <b/>
      <sz val="10"/>
      <color theme="1"/>
      <name val="Arial"/>
      <charset val="1"/>
    </font>
    <font>
      <b/>
      <sz val="9"/>
      <color rgb="FF000000"/>
      <name val="Arial"/>
      <charset val="1"/>
    </font>
    <font>
      <sz val="9"/>
      <color rgb="FF000000"/>
      <name val="Arial"/>
      <charset val="1"/>
    </font>
    <font>
      <b/>
      <sz val="20"/>
      <color rgb="FFFFFFFF"/>
      <name val="Arial"/>
      <charset val="1"/>
    </font>
    <font>
      <sz val="10"/>
      <color rgb="FF0000FF"/>
      <name val="Arial"/>
      <charset val="1"/>
    </font>
    <font>
      <b/>
      <sz val="9"/>
      <color rgb="FFFFFFFF"/>
      <name val="Arial"/>
      <charset val="1"/>
    </font>
    <font>
      <b/>
      <sz val="24"/>
      <color rgb="FF1F4E78"/>
      <name val="Arial"/>
      <charset val="1"/>
    </font>
    <font>
      <i/>
      <sz val="9"/>
      <color rgb="FF595959"/>
      <name val="Arial"/>
      <charset val="1"/>
    </font>
    <font>
      <b/>
      <sz val="24"/>
      <color rgb="FF548235"/>
      <name val="Arial"/>
      <charset val="1"/>
    </font>
    <font>
      <b/>
      <sz val="24"/>
      <color rgb="FFC00000"/>
      <name val="Arial"/>
      <charset val="1"/>
    </font>
    <font>
      <b/>
      <sz val="11"/>
      <color rgb="FF1F4E78"/>
      <name val="Arial"/>
      <charset val="1"/>
    </font>
    <font>
      <b/>
      <sz val="9"/>
      <color rgb="FF1F4E78"/>
      <name val="Arial"/>
      <charset val="1"/>
    </font>
    <font>
      <b/>
      <sz val="10"/>
      <color rgb="FFC00000"/>
      <name val="Arial"/>
      <charset val="1"/>
    </font>
    <font>
      <b/>
      <sz val="10"/>
      <color rgb="FF548235"/>
      <name val="Arial"/>
      <charset val="1"/>
    </font>
    <font>
      <b/>
      <sz val="10"/>
      <color rgb="FFED7D31"/>
      <name val="Arial"/>
      <charset val="1"/>
    </font>
    <font>
      <b/>
      <sz val="10"/>
      <color rgb="FFBF9000"/>
      <name val="Arial"/>
      <charset val="1"/>
    </font>
    <font>
      <b/>
      <sz val="10"/>
      <color rgb="FFC55A11"/>
      <name val="Arial"/>
      <charset val="1"/>
    </font>
    <font>
      <b/>
      <sz val="10"/>
      <color rgb="FF7F7F7F"/>
      <name val="Arial"/>
      <charset val="1"/>
    </font>
    <font>
      <b/>
      <sz val="10"/>
      <color rgb="FF000000"/>
      <name val="Arial"/>
      <charset val="1"/>
    </font>
    <font>
      <sz val="9"/>
      <color rgb="FF595959"/>
      <name val="Arial"/>
      <charset val="1"/>
    </font>
    <font>
      <b/>
      <sz val="24"/>
      <color rgb="FFC55A11"/>
      <name val="Arial"/>
      <charset val="1"/>
    </font>
    <font>
      <b/>
      <sz val="10"/>
      <color rgb="FF0000FF"/>
      <name val="Arial"/>
      <charset val="1"/>
    </font>
    <font>
      <u/>
      <sz val="11"/>
      <color rgb="FF0000FF"/>
      <name val="Calibri"/>
      <charset val="0"/>
      <scheme val="minor"/>
    </font>
    <font>
      <b/>
      <sz val="11"/>
      <color rgb="FFFFFFFF"/>
      <name val="Calibri"/>
      <charset val="0"/>
      <scheme val="minor"/>
    </font>
    <font>
      <sz val="10"/>
      <name val="Arial"/>
      <charset val="134"/>
    </font>
    <font>
      <u/>
      <sz val="11"/>
      <color rgb="FF800080"/>
      <name val="Calibri"/>
      <charset val="0"/>
      <scheme val="minor"/>
    </font>
    <font>
      <b/>
      <sz val="13"/>
      <color theme="3"/>
      <name val="Calibri"/>
      <charset val="134"/>
      <scheme val="minor"/>
    </font>
    <font>
      <sz val="11"/>
      <color rgb="FFFF0000"/>
      <name val="Calibri"/>
      <charset val="0"/>
      <scheme val="minor"/>
    </font>
    <font>
      <b/>
      <sz val="11"/>
      <color theme="3"/>
      <name val="Calibri"/>
      <charset val="134"/>
      <scheme val="minor"/>
    </font>
    <font>
      <sz val="11"/>
      <color theme="1"/>
      <name val="Calibri"/>
      <charset val="0"/>
      <scheme val="minor"/>
    </font>
    <font>
      <b/>
      <sz val="18"/>
      <color theme="3"/>
      <name val="Calibri"/>
      <charset val="134"/>
      <scheme val="minor"/>
    </font>
    <font>
      <b/>
      <sz val="15"/>
      <color theme="3"/>
      <name val="Calibri"/>
      <charset val="134"/>
      <scheme val="minor"/>
    </font>
    <font>
      <b/>
      <sz val="11"/>
      <color rgb="FF3F3F3F"/>
      <name val="Calibri"/>
      <charset val="0"/>
      <scheme val="minor"/>
    </font>
    <font>
      <sz val="11"/>
      <color theme="1"/>
      <name val="Calibri"/>
      <charset val="134"/>
      <scheme val="minor"/>
    </font>
    <font>
      <sz val="11"/>
      <color rgb="FF9C0006"/>
      <name val="Calibri"/>
      <charset val="0"/>
      <scheme val="minor"/>
    </font>
    <font>
      <sz val="11"/>
      <color theme="0"/>
      <name val="Calibri"/>
      <charset val="0"/>
      <scheme val="minor"/>
    </font>
    <font>
      <sz val="11"/>
      <color rgb="FFFA7D00"/>
      <name val="Calibri"/>
      <charset val="0"/>
      <scheme val="minor"/>
    </font>
    <font>
      <sz val="11"/>
      <color rgb="FF3F3F76"/>
      <name val="Calibri"/>
      <charset val="0"/>
      <scheme val="minor"/>
    </font>
    <font>
      <b/>
      <sz val="11"/>
      <color theme="1"/>
      <name val="Calibri"/>
      <charset val="0"/>
      <scheme val="minor"/>
    </font>
    <font>
      <i/>
      <sz val="11"/>
      <color rgb="FF7F7F7F"/>
      <name val="Calibri"/>
      <charset val="0"/>
      <scheme val="minor"/>
    </font>
    <font>
      <sz val="11"/>
      <color rgb="FF9C6500"/>
      <name val="Calibri"/>
      <charset val="0"/>
      <scheme val="minor"/>
    </font>
    <font>
      <sz val="11"/>
      <color rgb="FF006100"/>
      <name val="Calibri"/>
      <charset val="0"/>
      <scheme val="minor"/>
    </font>
    <font>
      <b/>
      <sz val="11"/>
      <color rgb="FFFA7D00"/>
      <name val="Calibri"/>
      <charset val="0"/>
      <scheme val="minor"/>
    </font>
  </fonts>
  <fills count="45">
    <fill>
      <patternFill patternType="none"/>
    </fill>
    <fill>
      <patternFill patternType="gray125"/>
    </fill>
    <fill>
      <patternFill patternType="solid">
        <fgColor rgb="FF1F4E78"/>
        <bgColor rgb="FF003366"/>
      </patternFill>
    </fill>
    <fill>
      <patternFill patternType="solid">
        <fgColor theme="6" tint="0.8"/>
        <bgColor rgb="FF003366"/>
      </patternFill>
    </fill>
    <fill>
      <patternFill patternType="solid">
        <fgColor theme="9" tint="0.8"/>
        <bgColor rgb="FF4F81BD"/>
      </patternFill>
    </fill>
    <fill>
      <patternFill patternType="solid">
        <fgColor theme="0" tint="-0.35"/>
        <bgColor rgb="FF9C5700"/>
      </patternFill>
    </fill>
    <fill>
      <patternFill patternType="solid">
        <fgColor theme="5" tint="0.8"/>
        <bgColor rgb="FFE5E5E5"/>
      </patternFill>
    </fill>
    <fill>
      <patternFill patternType="solid">
        <fgColor theme="0" tint="-0.05"/>
        <bgColor rgb="FFF3F7FB"/>
      </patternFill>
    </fill>
    <fill>
      <patternFill patternType="solid">
        <fgColor theme="6" tint="0.8"/>
        <bgColor rgb="FF4F81BD"/>
      </patternFill>
    </fill>
    <fill>
      <patternFill patternType="solid">
        <fgColor theme="9" tint="0.8"/>
        <bgColor rgb="FF9C5700"/>
      </patternFill>
    </fill>
    <fill>
      <patternFill patternType="solid">
        <fgColor rgb="FFFFF2CC"/>
        <bgColor rgb="FFFFF9E5"/>
      </patternFill>
    </fill>
    <fill>
      <patternFill patternType="solid">
        <fgColor rgb="FFF3F7FB"/>
        <bgColor rgb="FFF9F9F9"/>
      </patternFill>
    </fill>
    <fill>
      <patternFill patternType="solid">
        <fgColor rgb="FFD9EAF7"/>
        <bgColor rgb="FFE5E5E5"/>
      </patternFill>
    </fill>
    <fill>
      <patternFill patternType="solid">
        <fgColor rgb="FFFFF9E5"/>
        <bgColor rgb="FFF9F9F9"/>
      </patternFill>
    </fill>
    <fill>
      <patternFill patternType="solid">
        <fgColor rgb="FFA5A5A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FFCC99"/>
        <bgColor indexed="64"/>
      </patternFill>
    </fill>
    <fill>
      <patternFill patternType="solid">
        <fgColor theme="4"/>
        <bgColor indexed="64"/>
      </patternFill>
    </fill>
    <fill>
      <patternFill patternType="solid">
        <fgColor theme="8"/>
        <bgColor indexed="64"/>
      </patternFill>
    </fill>
    <fill>
      <patternFill patternType="solid">
        <fgColor theme="8"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9"/>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0D7DE"/>
      </bottom>
      <diagonal/>
    </border>
    <border>
      <left style="thin">
        <color rgb="FFD0D7DE"/>
      </left>
      <right style="thin">
        <color rgb="FFD0D7DE"/>
      </right>
      <top style="thin">
        <color rgb="FFD0D7DE"/>
      </top>
      <bottom style="thin">
        <color rgb="FFD0D7DE"/>
      </bottom>
      <diagonal/>
    </border>
    <border>
      <left style="thin">
        <color auto="1"/>
      </left>
      <right style="thin">
        <color auto="1"/>
      </right>
      <top style="thin">
        <color rgb="FFD0D7DE"/>
      </top>
      <bottom style="thin">
        <color auto="1"/>
      </bottom>
      <diagonal/>
    </border>
    <border>
      <left style="thin">
        <color auto="1"/>
      </left>
      <right style="thin">
        <color rgb="FFD0D7DE"/>
      </right>
      <top style="thin">
        <color rgb="FFD0D7DE"/>
      </top>
      <bottom style="thin">
        <color auto="1"/>
      </bottom>
      <diagonal/>
    </border>
    <border>
      <left style="thin">
        <color auto="1"/>
      </left>
      <right style="thin">
        <color rgb="FFD0D7DE"/>
      </right>
      <top style="thin">
        <color auto="1"/>
      </top>
      <bottom style="thin">
        <color auto="1"/>
      </bottom>
      <diagonal/>
    </border>
    <border>
      <left style="thin">
        <color auto="1"/>
      </left>
      <right style="thin">
        <color rgb="FFD0D7DE"/>
      </right>
      <top style="thin">
        <color auto="1"/>
      </top>
      <bottom style="thin">
        <color rgb="FFD0D7DE"/>
      </bottom>
      <diagonal/>
    </border>
    <border>
      <left/>
      <right/>
      <top/>
      <bottom style="thin">
        <color rgb="FFBF9000"/>
      </bottom>
      <diagonal/>
    </border>
    <border>
      <left style="thick">
        <color rgb="FFFFFFFF"/>
      </left>
      <right style="thick">
        <color rgb="FFFFFFFF"/>
      </right>
      <top/>
      <bottom style="thin">
        <color rgb="FFFFFFFF"/>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rgb="FF1F4E78"/>
      </bottom>
      <diagonal/>
    </border>
    <border>
      <left style="thick">
        <color rgb="FFFFFFFF"/>
      </left>
      <right/>
      <top/>
      <bottom style="thin">
        <color rgb="FFFFFFFF"/>
      </bottom>
      <diagonal/>
    </border>
    <border>
      <left/>
      <right/>
      <top/>
      <bottom style="thin">
        <color rgb="FFFFFFFF"/>
      </bottom>
      <diagonal/>
    </border>
    <border>
      <left/>
      <right style="thick">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39" fillId="23" borderId="0" applyNumberFormat="0" applyBorder="0" applyAlignment="0" applyProtection="0">
      <alignment vertical="center"/>
    </xf>
    <xf numFmtId="0" fontId="33" fillId="26" borderId="0" applyNumberFormat="0" applyBorder="0" applyAlignment="0" applyProtection="0">
      <alignment vertical="center"/>
    </xf>
    <xf numFmtId="0" fontId="39" fillId="43" borderId="0" applyNumberFormat="0" applyBorder="0" applyAlignment="0" applyProtection="0">
      <alignment vertical="center"/>
    </xf>
    <xf numFmtId="0" fontId="39" fillId="41" borderId="0" applyNumberFormat="0" applyBorder="0" applyAlignment="0" applyProtection="0">
      <alignment vertical="center"/>
    </xf>
    <xf numFmtId="0" fontId="33" fillId="28" borderId="0" applyNumberFormat="0" applyBorder="0" applyAlignment="0" applyProtection="0">
      <alignment vertical="center"/>
    </xf>
    <xf numFmtId="0" fontId="33" fillId="35" borderId="0" applyNumberFormat="0" applyBorder="0" applyAlignment="0" applyProtection="0">
      <alignment vertical="center"/>
    </xf>
    <xf numFmtId="0" fontId="39" fillId="24" borderId="0" applyNumberFormat="0" applyBorder="0" applyAlignment="0" applyProtection="0">
      <alignment vertical="center"/>
    </xf>
    <xf numFmtId="0" fontId="39" fillId="34" borderId="0" applyNumberFormat="0" applyBorder="0" applyAlignment="0" applyProtection="0">
      <alignment vertical="center"/>
    </xf>
    <xf numFmtId="0" fontId="33" fillId="29" borderId="0" applyNumberFormat="0" applyBorder="0" applyAlignment="0" applyProtection="0">
      <alignment vertical="center"/>
    </xf>
    <xf numFmtId="0" fontId="39" fillId="30" borderId="0" applyNumberFormat="0" applyBorder="0" applyAlignment="0" applyProtection="0">
      <alignment vertical="center"/>
    </xf>
    <xf numFmtId="0" fontId="40" fillId="0" borderId="21" applyNumberFormat="0" applyFill="0" applyAlignment="0" applyProtection="0">
      <alignment vertical="center"/>
    </xf>
    <xf numFmtId="0" fontId="33" fillId="22" borderId="0" applyNumberFormat="0" applyBorder="0" applyAlignment="0" applyProtection="0">
      <alignment vertical="center"/>
    </xf>
    <xf numFmtId="0" fontId="39" fillId="44" borderId="0" applyNumberFormat="0" applyBorder="0" applyAlignment="0" applyProtection="0">
      <alignment vertical="center"/>
    </xf>
    <xf numFmtId="0" fontId="39" fillId="36" borderId="0" applyNumberFormat="0" applyBorder="0" applyAlignment="0" applyProtection="0">
      <alignment vertical="center"/>
    </xf>
    <xf numFmtId="0" fontId="33" fillId="25" borderId="0" applyNumberFormat="0" applyBorder="0" applyAlignment="0" applyProtection="0">
      <alignment vertical="center"/>
    </xf>
    <xf numFmtId="0" fontId="33" fillId="40" borderId="0" applyNumberFormat="0" applyBorder="0" applyAlignment="0" applyProtection="0">
      <alignment vertical="center"/>
    </xf>
    <xf numFmtId="0" fontId="39" fillId="21" borderId="0" applyNumberFormat="0" applyBorder="0" applyAlignment="0" applyProtection="0">
      <alignment vertical="center"/>
    </xf>
    <xf numFmtId="0" fontId="33" fillId="15" borderId="0" applyNumberFormat="0" applyBorder="0" applyAlignment="0" applyProtection="0">
      <alignment vertical="center"/>
    </xf>
    <xf numFmtId="0" fontId="33" fillId="37" borderId="0" applyNumberFormat="0" applyBorder="0" applyAlignment="0" applyProtection="0">
      <alignment vertical="center"/>
    </xf>
    <xf numFmtId="0" fontId="39" fillId="33" borderId="0" applyNumberFormat="0" applyBorder="0" applyAlignment="0" applyProtection="0">
      <alignment vertical="center"/>
    </xf>
    <xf numFmtId="0" fontId="44" fillId="39" borderId="0" applyNumberFormat="0" applyBorder="0" applyAlignment="0" applyProtection="0">
      <alignment vertical="center"/>
    </xf>
    <xf numFmtId="0" fontId="39" fillId="20" borderId="0" applyNumberFormat="0" applyBorder="0" applyAlignment="0" applyProtection="0">
      <alignment vertical="center"/>
    </xf>
    <xf numFmtId="0" fontId="38" fillId="19" borderId="0" applyNumberFormat="0" applyBorder="0" applyAlignment="0" applyProtection="0">
      <alignment vertical="center"/>
    </xf>
    <xf numFmtId="0" fontId="33" fillId="38" borderId="0" applyNumberFormat="0" applyBorder="0" applyAlignment="0" applyProtection="0">
      <alignment vertical="center"/>
    </xf>
    <xf numFmtId="0" fontId="42" fillId="0" borderId="24" applyNumberFormat="0" applyFill="0" applyAlignment="0" applyProtection="0">
      <alignment vertical="center"/>
    </xf>
    <xf numFmtId="0" fontId="36" fillId="17" borderId="19" applyNumberFormat="0" applyAlignment="0" applyProtection="0">
      <alignment vertical="center"/>
    </xf>
    <xf numFmtId="177" fontId="28" fillId="0" borderId="0" applyBorder="0" applyAlignment="0" applyProtection="0"/>
    <xf numFmtId="0" fontId="33" fillId="27" borderId="0" applyNumberFormat="0" applyBorder="0" applyAlignment="0" applyProtection="0">
      <alignment vertical="center"/>
    </xf>
    <xf numFmtId="0" fontId="37" fillId="18" borderId="20" applyNumberFormat="0" applyFont="0" applyAlignment="0" applyProtection="0">
      <alignment vertical="center"/>
    </xf>
    <xf numFmtId="0" fontId="41" fillId="32" borderId="22" applyNumberFormat="0" applyAlignment="0" applyProtection="0">
      <alignment vertical="center"/>
    </xf>
    <xf numFmtId="0" fontId="32" fillId="0" borderId="0" applyNumberFormat="0" applyFill="0" applyBorder="0" applyAlignment="0" applyProtection="0">
      <alignment vertical="center"/>
    </xf>
    <xf numFmtId="0" fontId="46" fillId="17" borderId="22" applyNumberFormat="0" applyAlignment="0" applyProtection="0">
      <alignment vertical="center"/>
    </xf>
    <xf numFmtId="0" fontId="45" fillId="42" borderId="0" applyNumberFormat="0" applyBorder="0" applyAlignment="0" applyProtection="0">
      <alignment vertical="center"/>
    </xf>
    <xf numFmtId="0" fontId="32" fillId="0" borderId="23" applyNumberFormat="0" applyFill="0" applyAlignment="0" applyProtection="0">
      <alignment vertical="center"/>
    </xf>
    <xf numFmtId="0" fontId="43" fillId="0" borderId="0" applyNumberFormat="0" applyFill="0" applyBorder="0" applyAlignment="0" applyProtection="0">
      <alignment vertical="center"/>
    </xf>
    <xf numFmtId="0" fontId="35" fillId="0" borderId="18" applyNumberFormat="0" applyFill="0" applyAlignment="0" applyProtection="0">
      <alignment vertical="center"/>
    </xf>
    <xf numFmtId="178" fontId="28" fillId="0" borderId="0" applyBorder="0" applyAlignment="0" applyProtection="0"/>
    <xf numFmtId="0" fontId="33" fillId="16" borderId="0" applyNumberFormat="0" applyBorder="0" applyAlignment="0" applyProtection="0">
      <alignment vertical="center"/>
    </xf>
    <xf numFmtId="0" fontId="34" fillId="0" borderId="0" applyNumberFormat="0" applyFill="0" applyBorder="0" applyAlignment="0" applyProtection="0">
      <alignment vertical="center"/>
    </xf>
    <xf numFmtId="179" fontId="28" fillId="0" borderId="0" applyBorder="0" applyAlignment="0" applyProtection="0"/>
    <xf numFmtId="0" fontId="31"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8" applyNumberFormat="0" applyFill="0" applyAlignment="0" applyProtection="0">
      <alignment vertical="center"/>
    </xf>
    <xf numFmtId="180" fontId="28" fillId="0" borderId="0" applyBorder="0" applyAlignment="0" applyProtection="0"/>
    <xf numFmtId="0" fontId="27" fillId="14" borderId="17" applyNumberFormat="0" applyAlignment="0" applyProtection="0">
      <alignment vertical="center"/>
    </xf>
    <xf numFmtId="0" fontId="39" fillId="31" borderId="0" applyNumberFormat="0" applyBorder="0" applyAlignment="0" applyProtection="0">
      <alignment vertical="center"/>
    </xf>
    <xf numFmtId="9" fontId="28" fillId="0" borderId="0" applyBorder="0" applyAlignment="0" applyProtection="0"/>
    <xf numFmtId="0" fontId="26" fillId="0" borderId="0" applyNumberFormat="0" applyFill="0" applyBorder="0" applyAlignment="0" applyProtection="0">
      <alignment vertical="center"/>
    </xf>
  </cellStyleXfs>
  <cellXfs count="75">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0" fillId="0" borderId="1" xfId="0" applyFont="1" applyBorder="1"/>
    <xf numFmtId="0" fontId="3" fillId="0" borderId="0" xfId="0" applyFont="1"/>
    <xf numFmtId="0" fontId="2" fillId="0" borderId="0" xfId="0" applyFont="1"/>
    <xf numFmtId="0" fontId="4" fillId="3" borderId="1" xfId="0" applyFont="1" applyFill="1" applyBorder="1" applyAlignment="1">
      <alignment horizontal="left" vertical="center" wrapText="1"/>
    </xf>
    <xf numFmtId="0" fontId="5"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0" fillId="0" borderId="0" xfId="0" applyFont="1" applyAlignment="1">
      <alignment horizontal="center" vertical="center"/>
    </xf>
    <xf numFmtId="0" fontId="0" fillId="6" borderId="0" xfId="0" applyFont="1" applyFill="1"/>
    <xf numFmtId="0" fontId="0" fillId="7" borderId="0" xfId="0" applyFont="1" applyFill="1"/>
    <xf numFmtId="0" fontId="4"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center" vertical="top" wrapText="1"/>
    </xf>
    <xf numFmtId="0" fontId="6" fillId="0" borderId="3" xfId="0" applyFont="1" applyBorder="1" applyAlignment="1">
      <alignment horizontal="left" vertical="top" wrapText="1"/>
    </xf>
    <xf numFmtId="0" fontId="4" fillId="0" borderId="4" xfId="0" applyFont="1" applyFill="1" applyBorder="1" applyAlignment="1">
      <alignment horizontal="left" vertical="center" wrapText="1"/>
    </xf>
    <xf numFmtId="0" fontId="5" fillId="0" borderId="5" xfId="0" applyFont="1" applyBorder="1" applyAlignment="1">
      <alignment horizontal="left" vertical="top" wrapText="1"/>
    </xf>
    <xf numFmtId="0" fontId="4" fillId="0" borderId="1" xfId="0" applyFont="1" applyFill="1" applyBorder="1" applyAlignment="1">
      <alignment horizontal="left" vertical="center" wrapText="1"/>
    </xf>
    <xf numFmtId="0" fontId="5" fillId="0" borderId="6" xfId="0" applyFont="1" applyBorder="1" applyAlignment="1">
      <alignment horizontal="left" vertical="top" wrapText="1"/>
    </xf>
    <xf numFmtId="0" fontId="4" fillId="0" borderId="2" xfId="0" applyFont="1" applyFill="1" applyBorder="1" applyAlignment="1">
      <alignment horizontal="center" vertical="center" wrapText="1"/>
    </xf>
    <xf numFmtId="0" fontId="5" fillId="0" borderId="7" xfId="0" applyFont="1" applyBorder="1" applyAlignment="1">
      <alignment horizontal="left" vertical="top" wrapText="1"/>
    </xf>
    <xf numFmtId="0" fontId="6" fillId="0" borderId="3" xfId="0" applyFont="1" applyFill="1" applyBorder="1" applyAlignment="1">
      <alignment horizontal="center" vertical="top"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6" fillId="7" borderId="2" xfId="0" applyFont="1" applyFill="1" applyBorder="1" applyAlignment="1">
      <alignment horizontal="center" vertical="top" wrapText="1"/>
    </xf>
    <xf numFmtId="0" fontId="6" fillId="7" borderId="3" xfId="0" applyFont="1" applyFill="1" applyBorder="1" applyAlignment="1">
      <alignment horizontal="center" vertical="top" wrapText="1"/>
    </xf>
    <xf numFmtId="176" fontId="6" fillId="0" borderId="1" xfId="0" applyNumberFormat="1" applyFont="1" applyBorder="1" applyAlignment="1">
      <alignment horizontal="center" vertical="top" wrapText="1"/>
    </xf>
    <xf numFmtId="176" fontId="6" fillId="0" borderId="2" xfId="0" applyNumberFormat="1" applyFont="1" applyBorder="1" applyAlignment="1">
      <alignment horizontal="center" vertical="top" wrapText="1"/>
    </xf>
    <xf numFmtId="176" fontId="6" fillId="0" borderId="3" xfId="0" applyNumberFormat="1" applyFont="1" applyBorder="1" applyAlignment="1">
      <alignment horizontal="center" vertical="top" wrapText="1"/>
    </xf>
    <xf numFmtId="0" fontId="7" fillId="2" borderId="0" xfId="0" applyFont="1" applyFill="1" applyBorder="1" applyAlignment="1">
      <alignment horizontal="left" vertical="center" indent="1"/>
    </xf>
    <xf numFmtId="0" fontId="3" fillId="0" borderId="0" xfId="0" applyFont="1" applyBorder="1" applyAlignment="1">
      <alignment horizontal="right" vertical="center"/>
    </xf>
    <xf numFmtId="0" fontId="8" fillId="10" borderId="8" xfId="0" applyFont="1" applyFill="1" applyBorder="1" applyAlignment="1">
      <alignment horizontal="left" vertical="center" indent="1"/>
    </xf>
    <xf numFmtId="0" fontId="9" fillId="2" borderId="9" xfId="0" applyFont="1" applyFill="1" applyBorder="1" applyAlignment="1">
      <alignment horizontal="center" vertical="center"/>
    </xf>
    <xf numFmtId="1" fontId="10" fillId="11" borderId="9" xfId="0" applyNumberFormat="1" applyFont="1" applyFill="1" applyBorder="1" applyAlignment="1">
      <alignment horizontal="center" vertical="center"/>
    </xf>
    <xf numFmtId="9" fontId="10" fillId="11" borderId="9" xfId="0" applyNumberFormat="1" applyFont="1" applyFill="1" applyBorder="1" applyAlignment="1">
      <alignment horizontal="center" vertical="center"/>
    </xf>
    <xf numFmtId="0" fontId="11" fillId="11" borderId="9" xfId="0" applyFont="1" applyFill="1" applyBorder="1" applyAlignment="1">
      <alignment horizontal="center" vertical="center"/>
    </xf>
    <xf numFmtId="1" fontId="12" fillId="11" borderId="9" xfId="0" applyNumberFormat="1" applyFont="1" applyFill="1" applyBorder="1" applyAlignment="1">
      <alignment horizontal="center" vertical="center"/>
    </xf>
    <xf numFmtId="1" fontId="13" fillId="11" borderId="9" xfId="0" applyNumberFormat="1" applyFont="1" applyFill="1" applyBorder="1" applyAlignment="1">
      <alignment horizontal="center" vertical="center"/>
    </xf>
    <xf numFmtId="0" fontId="14" fillId="0" borderId="1" xfId="0" applyFont="1" applyBorder="1" applyAlignment="1">
      <alignment horizontal="left" vertical="center"/>
    </xf>
    <xf numFmtId="0" fontId="15" fillId="12" borderId="1" xfId="0" applyFont="1" applyFill="1" applyBorder="1" applyAlignment="1">
      <alignment horizontal="left" vertical="center" indent="1"/>
    </xf>
    <xf numFmtId="0" fontId="15" fillId="12" borderId="1" xfId="0" applyFont="1" applyFill="1" applyBorder="1" applyAlignment="1">
      <alignment horizontal="center" vertical="center"/>
    </xf>
    <xf numFmtId="0" fontId="16" fillId="11" borderId="1" xfId="0" applyFont="1" applyFill="1" applyBorder="1" applyAlignment="1">
      <alignment horizontal="left" vertical="center" indent="1"/>
    </xf>
    <xf numFmtId="1" fontId="2" fillId="11" borderId="1" xfId="0" applyNumberFormat="1" applyFont="1" applyFill="1" applyBorder="1" applyAlignment="1">
      <alignment horizontal="center" vertical="center"/>
    </xf>
    <xf numFmtId="9" fontId="2" fillId="11" borderId="1" xfId="0" applyNumberFormat="1" applyFont="1" applyFill="1" applyBorder="1" applyAlignment="1">
      <alignment horizontal="center" vertical="center"/>
    </xf>
    <xf numFmtId="0" fontId="17" fillId="11" borderId="1" xfId="0" applyFont="1" applyFill="1" applyBorder="1" applyAlignment="1">
      <alignment horizontal="left" vertical="center" indent="1"/>
    </xf>
    <xf numFmtId="0" fontId="18" fillId="11" borderId="1" xfId="0" applyFont="1" applyFill="1" applyBorder="1" applyAlignment="1">
      <alignment horizontal="left" vertical="center" indent="1"/>
    </xf>
    <xf numFmtId="0" fontId="19" fillId="11" borderId="1" xfId="0" applyFont="1" applyFill="1" applyBorder="1" applyAlignment="1">
      <alignment horizontal="left" vertical="center" indent="1"/>
    </xf>
    <xf numFmtId="0" fontId="20" fillId="11" borderId="1" xfId="0" applyFont="1" applyFill="1" applyBorder="1" applyAlignment="1">
      <alignment horizontal="left" vertical="center" indent="1"/>
    </xf>
    <xf numFmtId="0" fontId="21" fillId="11" borderId="1" xfId="0" applyFont="1" applyFill="1" applyBorder="1" applyAlignment="1">
      <alignment horizontal="left" vertical="center" indent="1"/>
    </xf>
    <xf numFmtId="0" fontId="22" fillId="12" borderId="1" xfId="0" applyFont="1" applyFill="1" applyBorder="1" applyAlignment="1">
      <alignment horizontal="left" vertical="center" indent="1"/>
    </xf>
    <xf numFmtId="1" fontId="22" fillId="12" borderId="1" xfId="0" applyNumberFormat="1" applyFont="1" applyFill="1" applyBorder="1" applyAlignment="1">
      <alignment horizontal="center" vertical="center"/>
    </xf>
    <xf numFmtId="9" fontId="22" fillId="12" borderId="1" xfId="0" applyNumberFormat="1" applyFont="1" applyFill="1" applyBorder="1" applyAlignment="1">
      <alignment horizontal="center" vertical="center"/>
    </xf>
    <xf numFmtId="0" fontId="22" fillId="12" borderId="10" xfId="0" applyFont="1" applyFill="1" applyBorder="1" applyAlignment="1">
      <alignment horizontal="center" vertical="center"/>
    </xf>
    <xf numFmtId="0" fontId="22" fillId="12" borderId="11" xfId="0" applyFont="1" applyFill="1" applyBorder="1" applyAlignment="1">
      <alignment horizontal="center" vertical="center"/>
    </xf>
    <xf numFmtId="0" fontId="22" fillId="12" borderId="12" xfId="0" applyFont="1" applyFill="1" applyBorder="1" applyAlignment="1">
      <alignment horizontal="left" vertical="center" indent="1"/>
    </xf>
    <xf numFmtId="0" fontId="14" fillId="0" borderId="13" xfId="0" applyFont="1" applyBorder="1" applyAlignment="1">
      <alignment horizontal="left" vertical="center"/>
    </xf>
    <xf numFmtId="0" fontId="23" fillId="0" borderId="0" xfId="0" applyFont="1" applyBorder="1" applyAlignment="1">
      <alignment horizontal="left" vertical="center" wrapText="1" indent="1"/>
    </xf>
    <xf numFmtId="1" fontId="24" fillId="11" borderId="9" xfId="0" applyNumberFormat="1" applyFont="1" applyFill="1" applyBorder="1" applyAlignment="1">
      <alignment horizontal="center" vertical="center"/>
    </xf>
    <xf numFmtId="0" fontId="25" fillId="13" borderId="1" xfId="0" applyFont="1" applyFill="1" applyBorder="1" applyAlignment="1">
      <alignment horizontal="left" vertical="center" indent="1"/>
    </xf>
    <xf numFmtId="0" fontId="25" fillId="13" borderId="14" xfId="0" applyFont="1" applyFill="1" applyBorder="1" applyAlignment="1">
      <alignment horizontal="left" vertical="center" indent="1"/>
    </xf>
    <xf numFmtId="0" fontId="22" fillId="12" borderId="14" xfId="0" applyFont="1" applyFill="1" applyBorder="1" applyAlignment="1">
      <alignment horizontal="left" vertical="center" indent="1"/>
    </xf>
    <xf numFmtId="176" fontId="2" fillId="0" borderId="0" xfId="0" applyNumberFormat="1" applyFont="1" applyBorder="1" applyAlignment="1">
      <alignment horizontal="left" vertical="center" indent="1"/>
    </xf>
    <xf numFmtId="1" fontId="2" fillId="11" borderId="15" xfId="0" applyNumberFormat="1" applyFont="1" applyFill="1" applyBorder="1" applyAlignment="1">
      <alignment horizontal="center" vertical="center"/>
    </xf>
    <xf numFmtId="9" fontId="2" fillId="11" borderId="15" xfId="0" applyNumberFormat="1" applyFont="1" applyFill="1" applyBorder="1" applyAlignment="1">
      <alignment horizontal="center" vertical="center"/>
    </xf>
    <xf numFmtId="1" fontId="2" fillId="11" borderId="16" xfId="0" applyNumberFormat="1" applyFont="1" applyFill="1" applyBorder="1" applyAlignment="1">
      <alignment horizontal="center" vertical="center"/>
    </xf>
    <xf numFmtId="1" fontId="22" fillId="12" borderId="15" xfId="0" applyNumberFormat="1" applyFont="1" applyFill="1" applyBorder="1" applyAlignment="1">
      <alignment horizontal="center" vertical="center"/>
    </xf>
    <xf numFmtId="9" fontId="22" fillId="12" borderId="15" xfId="0" applyNumberFormat="1" applyFont="1" applyFill="1" applyBorder="1" applyAlignment="1">
      <alignment horizontal="center" vertical="center"/>
    </xf>
    <xf numFmtId="1" fontId="22" fillId="12" borderId="16" xfId="0" applyNumberFormat="1" applyFont="1" applyFill="1" applyBorder="1" applyAlignment="1">
      <alignment horizontal="center"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27">
    <dxf>
      <font>
        <name val="Arial"/>
        <scheme val="none"/>
        <charset val="1"/>
        <family val="0"/>
        <b val="1"/>
        <color rgb="FF006100"/>
      </font>
      <fill>
        <patternFill patternType="solid">
          <bgColor rgb="FFC6EFCE"/>
        </patternFill>
      </fill>
    </dxf>
    <dxf>
      <font>
        <name val="Arial"/>
        <scheme val="none"/>
        <charset val="1"/>
        <family val="0"/>
        <b val="1"/>
        <color rgb="FF9C0006"/>
      </font>
      <fill>
        <patternFill patternType="solid">
          <bgColor rgb="FFFFC7CE"/>
        </patternFill>
      </fill>
    </dxf>
    <dxf>
      <font>
        <name val="Arial"/>
        <scheme val="none"/>
        <charset val="1"/>
        <family val="0"/>
        <b val="1"/>
        <color rgb="FF9C5700"/>
      </font>
      <fill>
        <patternFill patternType="solid">
          <bgColor rgb="FFFFEB9C"/>
        </patternFill>
      </fill>
    </dxf>
    <dxf>
      <font>
        <name val="Arial"/>
        <scheme val="none"/>
        <charset val="1"/>
        <family val="0"/>
        <color rgb="FF595959"/>
      </font>
      <fill>
        <patternFill patternType="solid">
          <bgColor rgb="FFEDEDED"/>
        </patternFill>
      </fill>
    </dxf>
    <dxf>
      <font>
        <name val="Arial"/>
        <scheme val="none"/>
        <charset val="1"/>
        <family val="0"/>
        <color rgb="FF808080"/>
      </font>
      <fill>
        <patternFill patternType="solid">
          <bgColor rgb="FFF2F2F2"/>
        </patternFill>
      </fill>
    </dxf>
    <dxf>
      <font>
        <name val="Arial"/>
        <scheme val="none"/>
        <charset val="1"/>
        <family val="0"/>
        <b val="1"/>
        <color rgb="FFFFFFFF"/>
      </font>
      <fill>
        <patternFill patternType="solid">
          <bgColor rgb="FFC00000"/>
        </patternFill>
      </fill>
    </dxf>
    <dxf>
      <font>
        <name val="Arial"/>
        <scheme val="none"/>
        <charset val="1"/>
        <family val="0"/>
        <b val="1"/>
        <color rgb="FF000000"/>
      </font>
      <fill>
        <patternFill patternType="solid">
          <bgColor rgb="FFF4B183"/>
        </patternFill>
      </fill>
    </dxf>
    <dxf>
      <font>
        <name val="Arial"/>
        <scheme val="none"/>
        <charset val="1"/>
        <family val="0"/>
        <b val="1"/>
        <color rgb="FF000000"/>
      </font>
      <fill>
        <patternFill patternType="solid">
          <bgColor rgb="FFFFE699"/>
        </patternFill>
      </fill>
    </dxf>
    <dxf>
      <font>
        <name val="Arial"/>
        <scheme val="none"/>
        <charset val="1"/>
        <family val="0"/>
        <b val="1"/>
        <color rgb="FF000000"/>
      </font>
      <fill>
        <patternFill patternType="solid">
          <bgColor rgb="FFC6E0B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ont>
        <color rgb="5B3F86"/>
      </font>
      <fill>
        <patternFill>
          <bgColor rgb="E4DFEC"/>
        </patternFill>
      </fill>
    </dxf>
  </dxfs>
  <tableStyles count="2" defaultTableStyle="TableStylePreset3_Accent1" defaultPivotStyle="PivotStylePreset2_Accent1">
    <tableStyle name="TableStylePreset3_Accent1" pivot="0" count="7">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548235"/>
      <rgbColor rgb="00800080"/>
      <rgbColor rgb="00008080"/>
      <rgbColor rgb="00D9D9D9"/>
      <rgbColor rgb="00808080"/>
      <rgbColor rgb="00A6A6A6"/>
      <rgbColor rgb="00C55A11"/>
      <rgbColor rgb="00FFF9E5"/>
      <rgbColor rgb="00D9EAF7"/>
      <rgbColor rgb="00660066"/>
      <rgbColor rgb="00E5E5E5"/>
      <rgbColor rgb="000066CC"/>
      <rgbColor rgb="00D0D7DE"/>
      <rgbColor rgb="00000080"/>
      <rgbColor rgb="00FF00FF"/>
      <rgbColor rgb="00FFF2CC"/>
      <rgbColor rgb="00F9F9F9"/>
      <rgbColor rgb="00800080"/>
      <rgbColor rgb="00800000"/>
      <rgbColor rgb="00008080"/>
      <rgbColor rgb="000000FF"/>
      <rgbColor rgb="0000CCFF"/>
      <rgbColor rgb="00F3F7FB"/>
      <rgbColor rgb="00C6EFCE"/>
      <rgbColor rgb="00FFEB9C"/>
      <rgbColor rgb="00C6E0B4"/>
      <rgbColor rgb="00F4B183"/>
      <rgbColor rgb="00F2DCDB"/>
      <rgbColor rgb="00FFC7CE"/>
      <rgbColor rgb="002E75B6"/>
      <rgbColor rgb="00EDEDED"/>
      <rgbColor rgb="0070AD47"/>
      <rgbColor rgb="00FFC000"/>
      <rgbColor rgb="00BF9000"/>
      <rgbColor rgb="00ED7D31"/>
      <rgbColor rgb="00595959"/>
      <rgbColor rgb="00878787"/>
      <rgbColor rgb="00003366"/>
      <rgbColor rgb="004F81BD"/>
      <rgbColor rgb="00003300"/>
      <rgbColor rgb="00333300"/>
      <rgbColor rgb="009C5700"/>
      <rgbColor rgb="007F7F7F"/>
      <rgbColor rgb="001F4E78"/>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'QA Dashboard'!$B$13</c:f>
              <c:strCache>
                <c:ptCount val="1"/>
                <c:pt idx="0">
                  <c:v>Test Cases</c:v>
                </c:pt>
              </c:strCache>
            </c:strRef>
          </c:tx>
          <c:spPr>
            <a:solidFill>
              <a:srgbClr val="1F4E78"/>
            </a:solidFill>
            <a:ln w="9360">
              <a:solidFill>
                <a:srgbClr val="F9F9F9"/>
              </a:solidFill>
              <a:round/>
            </a:ln>
          </c:spPr>
          <c:invertIfNegative val="0"/>
          <c:dPt>
            <c:idx val="0"/>
            <c:invertIfNegative val="0"/>
            <c:bubble3D val="0"/>
            <c:spPr>
              <a:solidFill>
                <a:srgbClr val="C00000"/>
              </a:solidFill>
              <a:ln w="9360">
                <a:solidFill>
                  <a:srgbClr val="F9F9F9"/>
                </a:solidFill>
                <a:round/>
              </a:ln>
            </c:spPr>
          </c:dPt>
          <c:dPt>
            <c:idx val="1"/>
            <c:invertIfNegative val="0"/>
            <c:bubble3D val="0"/>
            <c:spPr>
              <a:solidFill>
                <a:srgbClr val="ED7D31"/>
              </a:solidFill>
              <a:ln w="9360">
                <a:solidFill>
                  <a:srgbClr val="F9F9F9"/>
                </a:solidFill>
                <a:round/>
              </a:ln>
            </c:spPr>
          </c:dPt>
          <c:dPt>
            <c:idx val="2"/>
            <c:invertIfNegative val="0"/>
            <c:bubble3D val="0"/>
            <c:spPr>
              <a:solidFill>
                <a:srgbClr val="FFC000"/>
              </a:solidFill>
              <a:ln w="9360">
                <a:solidFill>
                  <a:srgbClr val="F9F9F9"/>
                </a:solidFill>
                <a:round/>
              </a:ln>
            </c:spPr>
          </c:dPt>
          <c:dPt>
            <c:idx val="3"/>
            <c:invertIfNegative val="0"/>
            <c:bubble3D val="0"/>
            <c:spPr>
              <a:solidFill>
                <a:srgbClr val="70AD47"/>
              </a:solidFill>
              <a:ln w="9360">
                <a:solidFill>
                  <a:srgbClr val="F9F9F9"/>
                </a:solidFill>
                <a:roun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'QA Dashboard'!$A$14:$A$17</c:f>
              <c:strCache>
                <c:ptCount val="4"/>
                <c:pt idx="0">
                  <c:v>Critical</c:v>
                </c:pt>
                <c:pt idx="1">
                  <c:v>High</c:v>
                </c:pt>
                <c:pt idx="2">
                  <c:v>Medium</c:v>
                </c:pt>
                <c:pt idx="3">
                  <c:v>Low</c:v>
                </c:pt>
              </c:strCache>
            </c:strRef>
          </c:cat>
          <c:val>
            <c:numRef>
              <c:f>'QA Dashboard'!$B$14:$B$17</c:f>
              <c:numCache>
                <c:formatCode>0</c:formatCode>
                <c:ptCount val="4"/>
                <c:pt idx="0">
                  <c:v>0</c:v>
                </c:pt>
                <c:pt idx="1">
                  <c:v>0</c:v>
                </c:pt>
                <c:pt idx="2">
                  <c:v>1</c:v>
                </c:pt>
                <c:pt idx="3">
                  <c:v>1</c:v>
                </c:pt>
              </c:numCache>
            </c:numRef>
          </c:val>
        </c:ser>
        <c:dLbls>
          <c:showLegendKey val="0"/>
          <c:showVal val="1"/>
          <c:showCatName val="0"/>
          <c:showSerName val="0"/>
          <c:showPercent val="0"/>
          <c:showBubbleSize val="1"/>
        </c:dLbls>
        <c:gapWidth val="60"/>
        <c:overlap val="0"/>
        <c:axId val="72088259"/>
        <c:axId val="26809774"/>
      </c:barChart>
      <c:catAx>
        <c:axId val="72088259"/>
        <c:scaling>
          <c:orientation val="minMax"/>
        </c:scaling>
        <c:delete val="0"/>
        <c:axPos val="b"/>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26809774"/>
        <c:crosses val="autoZero"/>
        <c:auto val="1"/>
        <c:lblAlgn val="ctr"/>
        <c:lblOffset val="100"/>
        <c:noMultiLvlLbl val="0"/>
      </c:catAx>
      <c:valAx>
        <c:axId val="26809774"/>
        <c:scaling>
          <c:orientation val="minMax"/>
          <c:min val="0"/>
        </c:scaling>
        <c:delete val="0"/>
        <c:axPos val="l"/>
        <c:majorGridlines>
          <c:spPr>
            <a:ln w="9360" cap="flat" cmpd="sng" algn="ctr">
              <a:solidFill>
                <a:srgbClr val="E5E5E5"/>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Test cases</a:t>
                </a:r>
                <a:endParaRPr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72088259"/>
        <c:crosses val="autoZero"/>
        <c:crossBetween val="between"/>
      </c:valAx>
      <c:spPr>
        <a:noFill/>
        <a:ln w="0">
          <a:noFill/>
        </a:ln>
      </c:spPr>
    </c:plotArea>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'QA Dashboard'!$E$13</c:f>
              <c:strCache>
                <c:ptCount val="1"/>
                <c:pt idx="0">
                  <c:v>Test Cases</c:v>
                </c:pt>
              </c:strCache>
            </c:strRef>
          </c:tx>
          <c:spPr>
            <a:solidFill>
              <a:srgbClr val="4F81BD"/>
            </a:solidFill>
            <a:ln w="0">
              <a:noFill/>
            </a:ln>
          </c:spPr>
          <c:explosion val="0"/>
          <c:dPt>
            <c:idx val="0"/>
            <c:bubble3D val="0"/>
            <c:spPr>
              <a:solidFill>
                <a:srgbClr val="70AD47"/>
              </a:solidFill>
              <a:ln w="0">
                <a:solidFill>
                  <a:srgbClr val="FFFFFF"/>
                </a:solidFill>
              </a:ln>
            </c:spPr>
          </c:dPt>
          <c:dPt>
            <c:idx val="1"/>
            <c:bubble3D val="0"/>
            <c:spPr>
              <a:solidFill>
                <a:srgbClr val="C00000"/>
              </a:solidFill>
              <a:ln w="0">
                <a:solidFill>
                  <a:srgbClr val="FFFFFF"/>
                </a:solidFill>
              </a:ln>
            </c:spPr>
          </c:dPt>
          <c:dPt>
            <c:idx val="2"/>
            <c:bubble3D val="0"/>
            <c:spPr>
              <a:solidFill>
                <a:srgbClr val="ED7D31"/>
              </a:solidFill>
              <a:ln w="0">
                <a:solidFill>
                  <a:srgbClr val="FFFFFF"/>
                </a:solidFill>
              </a:ln>
            </c:spPr>
          </c:dPt>
          <c:dPt>
            <c:idx val="3"/>
            <c:bubble3D val="0"/>
            <c:spPr>
              <a:solidFill>
                <a:srgbClr val="A6A6A6"/>
              </a:solidFill>
              <a:ln w="0">
                <a:solidFill>
                  <a:srgbClr val="FFFFFF"/>
                </a:solidFill>
              </a:ln>
            </c:spPr>
          </c:dPt>
          <c:dPt>
            <c:idx val="4"/>
            <c:bubble3D val="0"/>
            <c:spPr>
              <a:solidFill>
                <a:srgbClr val="D9D9D9"/>
              </a:solidFill>
              <a:ln w="0">
                <a:solidFill>
                  <a:srgbClr val="FFFFFF"/>
                </a:solidFill>
              </a:ln>
            </c:spPr>
          </c:dPt>
          <c:dLbls>
            <c:dLbl>
              <c:idx val="0"/>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4"/>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showLeaderLines val="1"/>
            <c:extLst>
              <c:ext xmlns:c15="http://schemas.microsoft.com/office/drawing/2012/chart" uri="{CE6537A1-D6FC-4f65-9D91-7224C49458BB}">
                <c15:layout/>
                <c15:showLeaderLines val="1"/>
                <c15:leaderLines/>
              </c:ext>
            </c:extLst>
          </c:dLbls>
          <c:cat>
            <c:strRef>
              <c:f>'QA Dashboard'!$D$14:$D$19</c:f>
              <c:strCache>
                <c:ptCount val="5"/>
                <c:pt idx="0">
                  <c:v>Pass</c:v>
                </c:pt>
                <c:pt idx="1">
                  <c:v>Fail</c:v>
                </c:pt>
                <c:pt idx="2">
                  <c:v>Blocked</c:v>
                </c:pt>
                <c:pt idx="3">
                  <c:v>Not Run</c:v>
                </c:pt>
                <c:pt idx="4">
                  <c:v>Not Applicable</c:v>
                </c:pt>
              </c:strCache>
            </c:strRef>
          </c:cat>
          <c:val>
            <c:numRef>
              <c:f>'QA Dashboard'!$E$14:$E$19</c:f>
              <c:numCache>
                <c:formatCode>0</c:formatCode>
                <c:ptCount val="5"/>
                <c:pt idx="0">
                  <c:v>1</c:v>
                </c:pt>
                <c:pt idx="1">
                  <c:v>1</c:v>
                </c:pt>
                <c:pt idx="2">
                  <c:v>0</c:v>
                </c:pt>
                <c:pt idx="3">
                  <c:v>0</c:v>
                </c:pt>
                <c:pt idx="4">
                  <c:v>0</c:v>
                </c:pt>
              </c:numCache>
            </c:numRef>
          </c:val>
        </c:ser>
        <c:dLbls>
          <c:showLegendKey val="0"/>
          <c:showVal val="1"/>
          <c:showCatName val="0"/>
          <c:showSerName val="0"/>
          <c:showPercent val="0"/>
          <c:showBubbleSize val="1"/>
          <c:showLeaderLines val="1"/>
        </c:dLbls>
        <c:firstSliceAng val="0"/>
        <c:holeSize val="50"/>
      </c:doughnutChart>
      <c:spPr>
        <a:noFill/>
        <a:ln w="0">
          <a:noFill/>
        </a:ln>
      </c:spPr>
    </c:plotArea>
    <c:legend>
      <c:legendPos val="r"/>
      <c:layout/>
      <c:overlay val="0"/>
      <c:spPr>
        <a:noFill/>
        <a:ln w="0">
          <a:noFill/>
        </a:ln>
      </c:spPr>
      <c:txPr>
        <a:bodyPr rot="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legend>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25</xdr:row>
      <xdr:rowOff>0</xdr:rowOff>
    </xdr:from>
    <xdr:to>
      <xdr:col>5</xdr:col>
      <xdr:colOff>462600</xdr:colOff>
      <xdr:row>38</xdr:row>
      <xdr:rowOff>152580</xdr:rowOff>
    </xdr:to>
    <xdr:graphicFrame>
      <xdr:nvGraphicFramePr>
        <xdr:cNvPr id="2" name="Chart 1"/>
        <xdr:cNvGraphicFramePr/>
      </xdr:nvGraphicFramePr>
      <xdr:xfrm>
        <a:off x="0" y="6543675"/>
        <a:ext cx="6939280" cy="2628900"/>
      </xdr:xfrm>
      <a:graphic>
        <a:graphicData uri="http://schemas.openxmlformats.org/drawingml/2006/chart">
          <c:chart xmlns:c="http://schemas.openxmlformats.org/drawingml/2006/chart" r:id="rId1"/>
        </a:graphicData>
      </a:graphic>
    </xdr:graphicFrame>
    <xdr:clientData/>
  </xdr:twoCellAnchor>
  <xdr:twoCellAnchor editAs="oneCell">
    <xdr:from>
      <xdr:col>6</xdr:col>
      <xdr:colOff>0</xdr:colOff>
      <xdr:row>25</xdr:row>
      <xdr:rowOff>0</xdr:rowOff>
    </xdr:from>
    <xdr:to>
      <xdr:col>11</xdr:col>
      <xdr:colOff>673920</xdr:colOff>
      <xdr:row>38</xdr:row>
      <xdr:rowOff>152580</xdr:rowOff>
    </xdr:to>
    <xdr:graphicFrame>
      <xdr:nvGraphicFramePr>
        <xdr:cNvPr id="3" name="Chart 2"/>
        <xdr:cNvGraphicFramePr/>
      </xdr:nvGraphicFramePr>
      <xdr:xfrm>
        <a:off x="7620000" y="6543675"/>
        <a:ext cx="6864985" cy="2628900"/>
      </xdr:xfrm>
      <a:graphic>
        <a:graphicData uri="http://schemas.openxmlformats.org/drawingml/2006/chart">
          <c:chart xmlns:c="http://schemas.openxmlformats.org/drawingml/2006/chart"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pageSetUpPr fitToPage="1"/>
  </sheetPr>
  <dimension ref="A1:L47"/>
  <sheetViews>
    <sheetView showGridLines="0" workbookViewId="0" tabSelected="false">
      <selection activeCell="D22" sqref="D22"/>
    </sheetView>
  </sheetViews>
  <sheetFormatPr defaultColWidth="8.67333333333333" defaultRowHeight="15"/>
  <cols>
    <col min="1" max="1" customWidth="true" width="16.0"/>
    <col min="2" max="3" customWidth="true" width="12.0"/>
    <col min="4" max="4" customWidth="true" width="16.0"/>
    <col min="5" max="6" customWidth="true" width="12.0"/>
    <col min="7" max="12" customWidth="true" width="13.0"/>
  </cols>
  <sheetData>
    <row r="1" ht="39.75" customHeight="1" spans="1:12">
      <c r="A1" s="36" t="s">
        <v>0</v>
      </c>
      <c r="B1" s="36"/>
      <c r="C1" s="36"/>
      <c r="D1" s="36"/>
      <c r="E1" s="36"/>
      <c r="F1" s="36"/>
      <c r="G1" s="36"/>
      <c r="H1" s="36"/>
      <c r="I1" s="36"/>
      <c r="J1" s="36"/>
      <c r="K1" s="36"/>
      <c r="L1" s="36"/>
    </row>
    <row r="2" ht="24" customHeight="1" spans="1:11">
      <c r="A2" s="37" t="s">
        <v>1</v>
      </c>
      <c r="B2" s="37"/>
      <c r="C2" s="38" t="s">
        <v>708</v>
      </c>
      <c r="D2" s="38"/>
      <c r="E2" s="38"/>
      <c r="F2" s="38"/>
      <c r="H2" s="37" t="s">
        <v>2</v>
      </c>
      <c r="I2" s="37"/>
      <c r="J2" s="68" t="n">
        <f ca="1">TODAY()</f>
        <v>46296.0</v>
      </c>
      <c r="K2" s="68"/>
    </row>
    <row r="3" ht="7.5" customHeight="1"/>
    <row r="4" ht="19.5" customHeight="1" spans="1:12">
      <c r="A4" s="39" t="s">
        <v>3</v>
      </c>
      <c r="B4" s="39"/>
      <c r="C4" s="39"/>
      <c r="D4" s="39" t="s">
        <v>4</v>
      </c>
      <c r="E4" s="39"/>
      <c r="F4" s="39"/>
      <c r="G4" s="39" t="s">
        <v>5</v>
      </c>
      <c r="H4" s="39"/>
      <c r="I4" s="39"/>
      <c r="J4" s="39" t="s">
        <v>6</v>
      </c>
      <c r="K4" s="39"/>
      <c r="L4" s="39"/>
    </row>
    <row r="5" ht="43.5" customHeight="1" spans="1:12">
      <c r="A5" s="40" t="n">
        <f>COUNTIF('Test Cases'!$A$2:$A$501,"&lt;&gt;")</f>
        <v>6.0</v>
      </c>
      <c r="B5" s="40"/>
      <c r="C5" s="40"/>
      <c r="D5" s="41" t="n">
        <f>IF(A5=0,0,(A9+D9+G9)/A5)</f>
        <v>0.6666666666666666</v>
      </c>
      <c r="E5" s="41"/>
      <c r="F5" s="41"/>
      <c r="G5" s="41" t="n">
        <f>IF((A9+D9+G9)=0,0,A9/(A9+D9+G9))</f>
        <v>1.0</v>
      </c>
      <c r="H5" s="41"/>
      <c r="I5" s="41"/>
      <c r="J5" s="44" t="n">
        <f>COUNTIF('Test Cases'!$N$2:$N$501,"High")+COUNTIF('Test Cases'!$N$2:$N$501,"Critical")</f>
        <v>0.0</v>
      </c>
      <c r="K5" s="44"/>
      <c r="L5" s="44"/>
    </row>
    <row r="6" ht="18" customHeight="1" spans="1:12">
      <c r="A6" s="42" t="s">
        <v>7</v>
      </c>
      <c r="B6" s="42"/>
      <c r="C6" s="42"/>
      <c r="D6" s="42" t="str">
        <f>(A9+D9+G9)&amp;" of "&amp;A5&amp;" test cases executed"</f>
        <v>4 of 6 test cases executed</v>
      </c>
      <c r="E6" s="42"/>
      <c r="F6" s="42"/>
      <c r="G6" s="42" t="s">
        <v>8</v>
      </c>
      <c r="H6" s="42"/>
      <c r="I6" s="42"/>
      <c r="J6" s="42" t="s">
        <v>9</v>
      </c>
      <c r="K6" s="42"/>
      <c r="L6" s="42"/>
    </row>
    <row r="7" ht="7.5" customHeight="1"/>
    <row r="8" ht="19.5" customHeight="1" spans="1:12">
      <c r="A8" s="39" t="s">
        <v>10</v>
      </c>
      <c r="B8" s="39"/>
      <c r="C8" s="39"/>
      <c r="D8" s="39" t="s">
        <v>11</v>
      </c>
      <c r="E8" s="39"/>
      <c r="F8" s="39"/>
      <c r="G8" s="39" t="s">
        <v>12</v>
      </c>
      <c r="H8" s="39"/>
      <c r="I8" s="39"/>
      <c r="J8" s="39" t="s">
        <v>13</v>
      </c>
      <c r="K8" s="39"/>
      <c r="L8" s="39"/>
    </row>
    <row r="9" ht="43.5" customHeight="1" spans="1:12">
      <c r="A9" s="43" t="n">
        <f>COUNTIF('Test Cases'!$I$2:$I$501,"Pass")</f>
        <v>4.0</v>
      </c>
      <c r="B9" s="43"/>
      <c r="C9" s="43"/>
      <c r="D9" s="44" t="n">
        <f>COUNTIF('Test Cases'!$I$2:$I$501,"Fail")</f>
        <v>0.0</v>
      </c>
      <c r="E9" s="44"/>
      <c r="F9" s="44"/>
      <c r="G9" s="64" t="n">
        <f>COUNTIF('Test Cases'!$I$2:$I$501,"Blocked")</f>
        <v>0.0</v>
      </c>
      <c r="H9" s="64"/>
      <c r="I9" s="64"/>
      <c r="J9" s="40" t="n">
        <f>COUNTIF('Test Cases'!$Q$2:$Q$501,"Yes")</f>
        <v>3.0</v>
      </c>
      <c r="K9" s="40"/>
      <c r="L9" s="40"/>
    </row>
    <row r="10" ht="18" customHeight="1" spans="1:12">
      <c r="A10" s="42" t="str">
        <f>IF($A$5=0,"",TEXT(A9/$A$5,"0%")&amp;" of all test cases")</f>
        <v>67% of all test cases</v>
      </c>
      <c r="B10" s="42"/>
      <c r="C10" s="42"/>
      <c r="D10" s="42" t="str">
        <f>IF($A$5=0,"",TEXT(D9/$A$5,"0%")&amp;" of all test cases")</f>
        <v>0% of all test cases</v>
      </c>
      <c r="E10" s="42"/>
      <c r="F10" s="42"/>
      <c r="G10" s="42" t="str">
        <f>IF($A$5=0,"",TEXT(G9/$A$5,"0%")&amp;" of all test cases")</f>
        <v>0% of all test cases</v>
      </c>
      <c r="H10" s="42"/>
      <c r="I10" s="42"/>
      <c r="J10" s="42" t="str">
        <f>IF($A$5=0,"",TEXT(J9/$A$5,"0%")&amp;" of all test cases")</f>
        <v>50% of all test cases</v>
      </c>
      <c r="K10" s="42"/>
      <c r="L10" s="42"/>
    </row>
    <row r="11" ht="12" customHeight="1"/>
    <row r="12" ht="21.75" customHeight="1" spans="1:12">
      <c r="A12" s="45" t="s">
        <v>14</v>
      </c>
      <c r="B12" s="45"/>
      <c r="C12" s="45"/>
      <c r="D12" s="45" t="s">
        <v>15</v>
      </c>
      <c r="E12" s="45"/>
      <c r="F12" s="45"/>
      <c r="G12" s="45" t="s">
        <v>16</v>
      </c>
      <c r="H12" s="45"/>
      <c r="I12" s="45"/>
      <c r="J12" s="45"/>
      <c r="K12" s="45"/>
      <c r="L12" s="45"/>
    </row>
    <row r="13" ht="19.5" customHeight="1" spans="1:12">
      <c r="A13" s="46" t="s">
        <v>17</v>
      </c>
      <c r="B13" s="47" t="s">
        <v>18</v>
      </c>
      <c r="C13" s="47" t="s">
        <v>19</v>
      </c>
      <c r="D13" s="46" t="s">
        <v>20</v>
      </c>
      <c r="E13" s="47" t="s">
        <v>18</v>
      </c>
      <c r="F13" s="47" t="s">
        <v>19</v>
      </c>
      <c r="G13" s="46" t="s">
        <v>21</v>
      </c>
      <c r="H13" s="46"/>
      <c r="I13" s="47" t="s">
        <v>22</v>
      </c>
      <c r="J13" s="47" t="s">
        <v>23</v>
      </c>
      <c r="K13" s="47" t="s">
        <v>24</v>
      </c>
      <c r="L13" s="47" t="s">
        <v>25</v>
      </c>
    </row>
    <row r="14" ht="18.75" customHeight="1" spans="1:12">
      <c r="A14" s="48" t="s">
        <v>26</v>
      </c>
      <c r="B14" s="49" t="n">
        <f>COUNTIF('Test Cases'!$N$2:$N$501,A14)</f>
        <v>0.0</v>
      </c>
      <c r="C14" s="50" t="n">
        <f>IF($A$5=0,0,B14/$A$5)</f>
        <v>0.0</v>
      </c>
      <c r="D14" s="51" t="s">
        <v>27</v>
      </c>
      <c r="E14" s="49" t="n">
        <f>COUNTIF('Test Cases'!$I$2:$I$501,D14)</f>
        <v>4.0</v>
      </c>
      <c r="F14" s="50" t="n">
        <f>IF($A$5=0,0,E14/$A$5)</f>
        <v>0.6666666666666666</v>
      </c>
      <c r="G14" s="65" t="s">
        <v>705</v>
      </c>
      <c r="H14" s="65"/>
      <c r="I14" s="49" t="n">
        <f>IF(G14="","",COUNTIF('Test Cases'!$U$2:$U$501,G14))</f>
        <v>6.0</v>
      </c>
      <c r="J14" s="49" t="n">
        <f>IF(G14="","",COUNTIFS('Test Cases'!$U$2:$U$501,G14,'Test Cases'!$I$2:$I$501,"&lt;&gt;Not Run")-COUNTIFS('Test Cases'!$U$2:$U$501,G14,'Test Cases'!$I$2:$I$501,""))</f>
        <v>6.0</v>
      </c>
      <c r="K14" s="50" t="n">
        <f t="shared" ref="K14:K22" si="0">IF(OR(G14="",I14=0),"",J14/I14)</f>
        <v>1.0</v>
      </c>
      <c r="L14" s="49" t="n">
        <f t="shared" ref="L14:L22" si="1">IF(G14="","",I14-J14)</f>
        <v>0.0</v>
      </c>
    </row>
    <row r="15" ht="18.75" customHeight="1" spans="1:12">
      <c r="A15" s="52" t="s">
        <v>29</v>
      </c>
      <c r="B15" s="49" t="n">
        <f>COUNTIF('Test Cases'!$N$2:$N$501,A15)</f>
        <v>0.0</v>
      </c>
      <c r="C15" s="50" t="n">
        <f>IF($A$5=0,0,B15/$A$5)</f>
        <v>0.0</v>
      </c>
      <c r="D15" s="48" t="s">
        <v>30</v>
      </c>
      <c r="E15" s="49" t="n">
        <f>COUNTIF('Test Cases'!$I$2:$I$501,D15)</f>
        <v>0.0</v>
      </c>
      <c r="F15" s="50" t="n">
        <f>IF($A$5=0,0,E15/$A$5)</f>
        <v>0.0</v>
      </c>
      <c r="G15" s="65"/>
      <c r="H15" s="65"/>
      <c r="I15" s="49" t="str">
        <f>IF(G15="","",COUNTIF('Test Cases'!$U$2:$U$501,G15))</f>
        <v/>
      </c>
      <c r="J15" s="49" t="str">
        <f>IF(G15="","",COUNTIFS('Test Cases'!$U$2:$U$501,G15,'Test Cases'!$I$2:$I$501,"&lt;&gt;Not Run")-COUNTIFS('Test Cases'!$U$2:$U$501,G15,'Test Cases'!$I$2:$I$501,""))</f>
        <v/>
      </c>
      <c r="K15" s="50" t="str">
        <f t="shared" si="0"/>
        <v/>
      </c>
      <c r="L15" s="49" t="str">
        <f t="shared" si="1"/>
        <v/>
      </c>
    </row>
    <row r="16" ht="18.75" customHeight="1" spans="1:12">
      <c r="A16" s="53" t="s">
        <v>32</v>
      </c>
      <c r="B16" s="49" t="n">
        <f>COUNTIF('Test Cases'!$N$2:$N$501,A16)</f>
        <v>0.0</v>
      </c>
      <c r="C16" s="50" t="n">
        <f>IF($A$5=0,0,B16/$A$5)</f>
        <v>0.0</v>
      </c>
      <c r="D16" s="54" t="s">
        <v>33</v>
      </c>
      <c r="E16" s="49" t="n">
        <f>COUNTIF('Test Cases'!$I$2:$I$501,D16)</f>
        <v>0.0</v>
      </c>
      <c r="F16" s="50" t="n">
        <f>IF($A$5=0,0,E16/$A$5)</f>
        <v>0.0</v>
      </c>
      <c r="G16" s="65"/>
      <c r="H16" s="65"/>
      <c r="I16" s="49" t="str">
        <f>IF(G16="","",COUNTIF('Test Cases'!$U$2:$U$501,G16))</f>
        <v/>
      </c>
      <c r="J16" s="49" t="str">
        <f>IF(G16="","",COUNTIFS('Test Cases'!$U$2:$U$501,G16,'Test Cases'!$I$2:$I$501,"&lt;&gt;Not Run")-COUNTIFS('Test Cases'!$U$2:$U$501,G16,'Test Cases'!$I$2:$I$501,""))</f>
        <v/>
      </c>
      <c r="K16" s="50" t="str">
        <f t="shared" si="0"/>
        <v/>
      </c>
      <c r="L16" s="49" t="str">
        <f t="shared" si="1"/>
        <v/>
      </c>
    </row>
    <row r="17" ht="18.75" customHeight="1" spans="1:12">
      <c r="A17" s="51" t="s">
        <v>34</v>
      </c>
      <c r="B17" s="49" t="n">
        <f>COUNTIF('Test Cases'!$N$2:$N$501,A17)</f>
        <v>6.0</v>
      </c>
      <c r="C17" s="50" t="n">
        <f>IF($A$5=0,0,B17/$A$5)</f>
        <v>1.0</v>
      </c>
      <c r="D17" s="55" t="s">
        <v>35</v>
      </c>
      <c r="E17" s="49" t="n">
        <f>COUNTIF('Test Cases'!$I$2:$I$501,D17)</f>
        <v>0.0</v>
      </c>
      <c r="F17" s="50" t="n">
        <f>IF($A$5=0,0,E17/$A$5)</f>
        <v>0.0</v>
      </c>
      <c r="G17" s="65"/>
      <c r="H17" s="65"/>
      <c r="I17" s="49" t="str">
        <f>IF(G17="","",COUNTIF('Test Cases'!$U$2:$U$501,G17))</f>
        <v/>
      </c>
      <c r="J17" s="49" t="str">
        <f>IF(G17="","",COUNTIFS('Test Cases'!$U$2:$U$501,G17,'Test Cases'!$I$2:$I$501,"&lt;&gt;Not Run")-COUNTIFS('Test Cases'!$U$2:$U$501,G17,'Test Cases'!$I$2:$I$501,""))</f>
        <v/>
      </c>
      <c r="K17" s="50" t="str">
        <f t="shared" si="0"/>
        <v/>
      </c>
      <c r="L17" s="49" t="str">
        <f t="shared" si="1"/>
        <v/>
      </c>
    </row>
    <row r="18" ht="18.75" customHeight="1" spans="1:12">
      <c r="A18" s="56" t="s">
        <v>36</v>
      </c>
      <c r="B18" s="57" t="n">
        <f>SUM(B14:B17)</f>
        <v>6.0</v>
      </c>
      <c r="C18" s="58" t="n">
        <f>SUM(C14:C17)</f>
        <v>1.0</v>
      </c>
      <c r="D18" s="55" t="s">
        <v>37</v>
      </c>
      <c r="E18" s="49" t="n">
        <f>COUNTIF('Test Cases'!$I$2:$I$501,D18)</f>
        <v>0.0</v>
      </c>
      <c r="F18" s="50" t="n">
        <f>IF($A$5=0,0,E18/$A$5)</f>
        <v>0.0</v>
      </c>
      <c r="G18" s="65"/>
      <c r="H18" s="65"/>
      <c r="I18" s="49" t="str">
        <f>IF(G18="","",COUNTIF('Test Cases'!$U$2:$U$501,G18))</f>
        <v/>
      </c>
      <c r="J18" s="49" t="str">
        <f>IF(G18="","",COUNTIFS('Test Cases'!$U$2:$U$501,G18,'Test Cases'!$I$2:$I$501,"&lt;&gt;Not Run")-COUNTIFS('Test Cases'!$U$2:$U$501,G18,'Test Cases'!$I$2:$I$501,""))</f>
        <v/>
      </c>
      <c r="K18" s="50" t="str">
        <f t="shared" si="0"/>
        <v/>
      </c>
      <c r="L18" s="49" t="str">
        <f t="shared" si="1"/>
        <v/>
      </c>
    </row>
    <row r="19" ht="18.75" customHeight="1" spans="1:12">
      <c r="A19" s="0"/>
      <c r="B19" s="0"/>
      <c r="C19" s="0"/>
      <c r="D19" s="55" t="s">
        <v>707</v>
      </c>
      <c r="E19" s="49" t="n">
        <f>COUNTIF('Test Cases'!$I$2:$I$501,D19)</f>
        <v>2.0</v>
      </c>
      <c r="F19" s="50" t="n">
        <f>IF($A$5=0,0,E19/$A$5)</f>
        <v>0.3333333333333333</v>
      </c>
      <c r="G19" s="65"/>
      <c r="H19" s="65"/>
      <c r="I19" s="49" t="str">
        <f>IF(G19="","",COUNTIF('Test Cases'!$U$2:$U$501,G19))</f>
        <v/>
      </c>
      <c r="J19" s="49" t="str">
        <f>IF(G19="","",COUNTIFS('Test Cases'!$U$2:$U$501,G19,'Test Cases'!$I$2:$I$501,"&lt;&gt;Not Run")-COUNTIFS('Test Cases'!$U$2:$U$501,G19,'Test Cases'!$I$2:$I$501,""))</f>
        <v/>
      </c>
      <c r="K19" s="50" t="str">
        <f t="shared" si="0"/>
        <v/>
      </c>
      <c r="L19" s="49" t="str">
        <f t="shared" si="1"/>
        <v/>
      </c>
    </row>
    <row r="20" ht="18.75" customHeight="1" spans="7:12">
      <c r="A20" s="59" t="s">
        <v>36</v>
      </c>
      <c r="B20" s="60"/>
      <c r="C20" s="60"/>
      <c r="D20" s="61"/>
      <c r="E20" s="57" t="n">
        <f>SUM(E14:E19)</f>
        <v>6.0</v>
      </c>
      <c r="F20" s="58" t="n">
        <f>SUM(F14:F19)</f>
        <v>1.0</v>
      </c>
      <c r="G20" s="66"/>
      <c r="H20" s="66"/>
      <c r="I20" s="69" t="str">
        <f>IF(G20="","",COUNTIF('Test Cases'!$U$2:$U$501,G20))</f>
        <v/>
      </c>
      <c r="J20" s="69" t="str">
        <f>IF(G20="","",COUNTIFS('Test Cases'!$U$2:$U$501,G20,'Test Cases'!$I$2:$I$501,"&lt;&gt;Not Run")-COUNTIFS('Test Cases'!$U$2:$U$501,G20,'Test Cases'!$I$2:$I$501,""))</f>
        <v/>
      </c>
      <c r="K20" s="70" t="str">
        <f t="shared" si="0"/>
        <v/>
      </c>
      <c r="L20" s="71" t="str">
        <f t="shared" si="1"/>
        <v/>
      </c>
    </row>
    <row r="21" ht="18.75" customHeight="1" spans="7:12">
      <c r="G21" s="66"/>
      <c r="H21" s="66"/>
      <c r="I21" s="69" t="str">
        <f>IF(G21="","",COUNTIF('Test Cases'!$U$2:$U$501,G21))</f>
        <v/>
      </c>
      <c r="J21" s="69" t="str">
        <f>IF(G21="","",COUNTIFS('Test Cases'!$U$2:$U$501,G21,'Test Cases'!$I$2:$I$501,"&lt;&gt;Not Run")-COUNTIFS('Test Cases'!$U$2:$U$501,G21,'Test Cases'!$I$2:$I$501,""))</f>
        <v/>
      </c>
      <c r="K21" s="70" t="str">
        <f t="shared" si="0"/>
        <v/>
      </c>
      <c r="L21" s="71" t="str">
        <f t="shared" si="1"/>
        <v/>
      </c>
    </row>
    <row r="22" ht="18.75" customHeight="1" spans="7:12">
      <c r="G22" s="66"/>
      <c r="H22" s="66"/>
      <c r="I22" s="69" t="str">
        <f>IF(G22="","",COUNTIF('Test Cases'!$U$2:$U$501,G22))</f>
        <v/>
      </c>
      <c r="J22" s="69" t="str">
        <f>IF(G22="","",COUNTIFS('Test Cases'!$U$2:$U$501,G22,'Test Cases'!$I$2:$I$501,"&lt;&gt;Not Run")-COUNTIFS('Test Cases'!$U$2:$U$501,G22,'Test Cases'!$I$2:$I$501,""))</f>
        <v/>
      </c>
      <c r="K22" s="70" t="str">
        <f t="shared" si="0"/>
        <v/>
      </c>
      <c r="L22" s="71" t="str">
        <f t="shared" si="1"/>
        <v/>
      </c>
    </row>
    <row r="23" ht="18.75" customHeight="1" spans="7:12">
      <c r="G23" s="67" t="s">
        <v>36</v>
      </c>
      <c r="H23" s="67"/>
      <c r="I23" s="72" t="n">
        <f>SUM(I14:I22)</f>
        <v>6.0</v>
      </c>
      <c r="J23" s="72" t="n">
        <f>SUM(J14:J22)</f>
        <v>6.0</v>
      </c>
      <c r="K23" s="73" t="n">
        <f>IF(I23=0,"",J23/I23)</f>
        <v>1.0</v>
      </c>
      <c r="L23" s="74" t="n">
        <f>SUM(L14:L22)</f>
        <v>0.0</v>
      </c>
    </row>
    <row r="24" ht="12" customHeight="1"/>
    <row r="25" ht="21.75" customHeight="1" spans="1:12">
      <c r="A25" s="62" t="s">
        <v>38</v>
      </c>
      <c r="B25" s="62"/>
      <c r="C25" s="62"/>
      <c r="D25" s="62"/>
      <c r="E25" s="62"/>
      <c r="F25" s="62"/>
      <c r="G25" s="62" t="s">
        <v>39</v>
      </c>
      <c r="H25" s="62"/>
      <c r="I25" s="62"/>
      <c r="J25" s="62"/>
      <c r="K25" s="62"/>
      <c r="L25" s="62"/>
    </row>
    <row r="42" ht="7.5" customHeight="1"/>
    <row r="43" ht="21.75" customHeight="1" spans="1:12">
      <c r="A43" s="62" t="s">
        <v>40</v>
      </c>
      <c r="B43" s="62"/>
      <c r="C43" s="62"/>
      <c r="D43" s="62"/>
      <c r="E43" s="62"/>
      <c r="F43" s="62"/>
      <c r="G43" s="62"/>
      <c r="H43" s="62"/>
      <c r="I43" s="62"/>
      <c r="J43" s="62"/>
      <c r="K43" s="62"/>
      <c r="L43" s="62"/>
    </row>
    <row r="44" ht="16.5" customHeight="1" spans="1:12">
      <c r="A44" s="63" t="s">
        <v>41</v>
      </c>
      <c r="B44" s="63"/>
      <c r="C44" s="63"/>
      <c r="D44" s="63"/>
      <c r="E44" s="63"/>
      <c r="F44" s="63"/>
      <c r="G44" s="63"/>
      <c r="H44" s="63"/>
      <c r="I44" s="63"/>
      <c r="J44" s="63"/>
      <c r="K44" s="63"/>
      <c r="L44" s="63"/>
    </row>
    <row r="45" ht="16.5" customHeight="1" spans="1:12">
      <c r="A45" s="63" t="s">
        <v>42</v>
      </c>
      <c r="B45" s="63"/>
      <c r="C45" s="63"/>
      <c r="D45" s="63"/>
      <c r="E45" s="63"/>
      <c r="F45" s="63"/>
      <c r="G45" s="63"/>
      <c r="H45" s="63"/>
      <c r="I45" s="63"/>
      <c r="J45" s="63"/>
      <c r="K45" s="63"/>
      <c r="L45" s="63"/>
    </row>
    <row r="46" ht="16.5" customHeight="1" spans="1:12">
      <c r="A46" s="63" t="s">
        <v>43</v>
      </c>
      <c r="B46" s="63"/>
      <c r="C46" s="63"/>
      <c r="D46" s="63"/>
      <c r="E46" s="63"/>
      <c r="F46" s="63"/>
      <c r="G46" s="63"/>
      <c r="H46" s="63"/>
      <c r="I46" s="63"/>
      <c r="J46" s="63"/>
      <c r="K46" s="63"/>
      <c r="L46" s="63"/>
    </row>
    <row r="47" ht="27.75" customHeight="1" spans="1:12">
      <c r="A47" s="63" t="s">
        <v>44</v>
      </c>
      <c r="B47" s="63"/>
      <c r="C47" s="63"/>
      <c r="D47" s="63"/>
      <c r="E47" s="63"/>
      <c r="F47" s="63"/>
      <c r="G47" s="63"/>
      <c r="H47" s="63"/>
      <c r="I47" s="63"/>
      <c r="J47" s="63"/>
      <c r="K47" s="63"/>
      <c r="L47" s="63"/>
    </row>
  </sheetData>
  <mergeCells count="52">
    <mergeCell ref="A1:L1"/>
    <mergeCell ref="A2:B2"/>
    <mergeCell ref="C2:F2"/>
    <mergeCell ref="H2:I2"/>
    <mergeCell ref="J2:K2"/>
    <mergeCell ref="A4:C4"/>
    <mergeCell ref="D4:F4"/>
    <mergeCell ref="G4:I4"/>
    <mergeCell ref="J4:L4"/>
    <mergeCell ref="A5:C5"/>
    <mergeCell ref="D5:F5"/>
    <mergeCell ref="G5:I5"/>
    <mergeCell ref="J5:L5"/>
    <mergeCell ref="A6:C6"/>
    <mergeCell ref="D6:F6"/>
    <mergeCell ref="G6:I6"/>
    <mergeCell ref="J6:L6"/>
    <mergeCell ref="A8:C8"/>
    <mergeCell ref="D8:F8"/>
    <mergeCell ref="G8:I8"/>
    <mergeCell ref="J8:L8"/>
    <mergeCell ref="A9:C9"/>
    <mergeCell ref="D9:F9"/>
    <mergeCell ref="G9:I9"/>
    <mergeCell ref="J9:L9"/>
    <mergeCell ref="A10:C10"/>
    <mergeCell ref="D10:F10"/>
    <mergeCell ref="G10:I10"/>
    <mergeCell ref="J10:L10"/>
    <mergeCell ref="A12:C12"/>
    <mergeCell ref="D12:F12"/>
    <mergeCell ref="G12:L12"/>
    <mergeCell ref="G13:H13"/>
    <mergeCell ref="G14:H14"/>
    <mergeCell ref="G15:H15"/>
    <mergeCell ref="G16:H16"/>
    <mergeCell ref="G17:H17"/>
    <mergeCell ref="G18:H18"/>
    <mergeCell ref="G19:H19"/>
    <mergeCell ref="G20:H20"/>
    <mergeCell ref="G21:H21"/>
    <mergeCell ref="G22:H22"/>
    <mergeCell ref="G23:H23"/>
    <mergeCell ref="A25:F25"/>
    <mergeCell ref="G25:L25"/>
    <mergeCell ref="A43:L43"/>
    <mergeCell ref="A44:L44"/>
    <mergeCell ref="A45:L45"/>
    <mergeCell ref="A46:L46"/>
    <mergeCell ref="A47:L47"/>
    <mergeCell ref="A20:D20"/>
  </mergeCells>
  <printOptions horizontalCentered="1"/>
  <pageMargins left="0.4" right="0.4" top="0.5" bottom="0.5"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W501"/>
  <sheetViews>
    <sheetView showGridLines="0" tabSelected="true" zoomScale="90" zoomScaleNormal="90" workbookViewId="0">
      <pane topLeftCell="A2"/>
      <selection activeCell="I7" sqref="I7"/>
    </sheetView>
  </sheetViews>
  <sheetFormatPr defaultColWidth="9" defaultRowHeight="15"/>
  <cols>
    <col min="1" max="1" customWidth="true" width="14.0"/>
    <col min="2" max="2" customWidth="true" width="19.0066666666667"/>
    <col min="3" max="3" customWidth="true" width="14.0"/>
    <col min="4" max="4" customWidth="true" width="27.4066666666667"/>
    <col min="5" max="5" customWidth="true" width="13.0"/>
    <col min="6" max="6" customWidth="true" width="48.0"/>
    <col min="7" max="7" customWidth="true" width="20.3733333333333"/>
    <col min="8" max="8" customWidth="true" width="15.0533333333333"/>
    <col min="9" max="9" customWidth="true" style="11" width="12.0"/>
    <col min="10" max="12" customWidth="true" style="11" width="18.0"/>
    <col min="13" max="13" customWidth="true" style="12" width="14.0"/>
    <col min="14" max="14" customWidth="true" style="12" width="16.0"/>
    <col min="15" max="15" customWidth="true" style="12" width="14.0"/>
    <col min="16" max="16" customWidth="true" style="11" width="14.0"/>
    <col min="17" max="18" customWidth="true" style="11" width="12.0"/>
    <col min="19" max="19" customWidth="true" width="13.0"/>
    <col min="20" max="20" customWidth="true" width="12.0"/>
    <col min="21" max="22" customWidth="true" width="14.0"/>
    <col min="23" max="23" customWidth="true" width="32.0"/>
  </cols>
  <sheetData>
    <row r="1" s="10" customFormat="1" ht="63.75" customHeight="1" spans="1:23">
      <c r="A1" s="13" t="s">
        <v>45</v>
      </c>
      <c r="B1" s="13" t="s">
        <v>46</v>
      </c>
      <c r="C1" s="13" t="s">
        <v>47</v>
      </c>
      <c r="D1" s="13" t="s">
        <v>48</v>
      </c>
      <c r="E1" s="13" t="s">
        <v>49</v>
      </c>
      <c r="F1" s="13" t="s">
        <v>50</v>
      </c>
      <c r="G1" s="13" t="s">
        <v>51</v>
      </c>
      <c r="H1" s="27" t="s">
        <v>52</v>
      </c>
      <c r="I1" s="28" t="s">
        <v>20</v>
      </c>
      <c r="J1" s="29" t="s">
        <v>53</v>
      </c>
      <c r="K1" s="29" t="s">
        <v>54</v>
      </c>
      <c r="L1" s="29" t="s">
        <v>55</v>
      </c>
      <c r="M1" s="9" t="s">
        <v>56</v>
      </c>
      <c r="N1" s="9" t="s">
        <v>57</v>
      </c>
      <c r="O1" s="9" t="s">
        <v>58</v>
      </c>
      <c r="P1" s="28" t="s">
        <v>59</v>
      </c>
      <c r="Q1" s="28" t="s">
        <v>60</v>
      </c>
      <c r="R1" s="28" t="s">
        <v>61</v>
      </c>
      <c r="S1" s="28" t="s">
        <v>62</v>
      </c>
      <c r="T1" s="27" t="s">
        <v>63</v>
      </c>
      <c r="U1" s="27" t="s">
        <v>21</v>
      </c>
      <c r="V1" s="27" t="s">
        <v>64</v>
      </c>
      <c r="W1" s="27" t="s">
        <v>65</v>
      </c>
    </row>
    <row r="2" spans="1:23" ht="112.0" customHeight="true">
      <c r="A2" s="14" t="s">
        <v>285</v>
      </c>
      <c r="B2" s="15" t="s">
        <v>256</v>
      </c>
      <c r="C2" s="14" t="s">
        <v>257</v>
      </c>
      <c r="D2" s="15" t="s">
        <v>286</v>
      </c>
      <c r="E2" s="14" t="s">
        <v>106</v>
      </c>
      <c r="F2" s="15" t="s">
        <v>287</v>
      </c>
      <c r="G2" s="15" t="s">
        <v>288</v>
      </c>
      <c r="H2" s="15" t="s">
        <v>288</v>
      </c>
      <c r="I2" s="14" t="s">
        <v>27</v>
      </c>
      <c r="J2" s="14" t="s">
        <v>34</v>
      </c>
      <c r="K2" s="14" t="s">
        <v>34</v>
      </c>
      <c r="L2" s="14" t="s">
        <v>90</v>
      </c>
      <c r="M2" s="30" t="n">
        <f>IF(OR(K2="",L2=""),"",MATCH(K2,Lists!$C$2:$C$5,0)*MATCH(L2,Lists!$D$2:$D$6,0))</f>
        <v>2.0</v>
      </c>
      <c r="N2" s="30" t="str">
        <f t="shared" ref="N2:N65" si="0">IF(M2="","",IF(M2&gt;=12,"Critical",IF(M2&gt;=8,"High",IF(M2&gt;=4,"Medium","Low"))))</f>
        <v>Low</v>
      </c>
      <c r="O2" s="30" t="str">
        <f t="shared" ref="O2:O65" si="1">IF(N2="","",IF(N2="Critical","P1",IF(N2="High","P2",IF(N2="Medium","P3","P4"))))</f>
        <v>P4</v>
      </c>
      <c r="P2" s="14" t="s">
        <v>77</v>
      </c>
      <c r="Q2" s="14" t="s">
        <v>78</v>
      </c>
      <c r="R2" s="14" t="s">
        <v>74</v>
      </c>
      <c r="S2" s="14" t="s">
        <v>98</v>
      </c>
      <c r="T2" s="14"/>
      <c r="U2" s="14" t="s">
        <v>705</v>
      </c>
      <c r="V2" s="33" t="n">
        <v>46296.0</v>
      </c>
      <c r="W2" s="15"/>
    </row>
    <row r="3" spans="1:23" ht="136.0" customHeight="true">
      <c r="A3" s="14" t="s">
        <v>432</v>
      </c>
      <c r="B3" s="15" t="s">
        <v>411</v>
      </c>
      <c r="C3" s="14" t="s">
        <v>412</v>
      </c>
      <c r="D3" s="15" t="s">
        <v>433</v>
      </c>
      <c r="E3" s="14" t="s">
        <v>70</v>
      </c>
      <c r="F3" s="15" t="s">
        <v>434</v>
      </c>
      <c r="G3" s="15" t="s">
        <v>435</v>
      </c>
      <c r="H3" s="15" t="s">
        <v>435</v>
      </c>
      <c r="I3" s="14" t="s">
        <v>27</v>
      </c>
      <c r="J3" s="14" t="s">
        <v>34</v>
      </c>
      <c r="K3" s="14" t="s">
        <v>34</v>
      </c>
      <c r="L3" s="14" t="s">
        <v>90</v>
      </c>
      <c r="M3" s="30" t="n">
        <f>IF(OR(K3="",L3=""),"",MATCH(K3,Lists!$C$2:$C$5,0)*MATCH(L3,Lists!$D$2:$D$6,0))</f>
        <v>2.0</v>
      </c>
      <c r="N3" s="30" t="str">
        <f t="shared" si="0"/>
        <v>Low</v>
      </c>
      <c r="O3" s="30" t="str">
        <f t="shared" si="1"/>
        <v>P4</v>
      </c>
      <c r="P3" s="14" t="s">
        <v>77</v>
      </c>
      <c r="Q3" s="14" t="s">
        <v>78</v>
      </c>
      <c r="R3" s="14" t="s">
        <v>74</v>
      </c>
      <c r="S3" s="14" t="s">
        <v>98</v>
      </c>
      <c r="T3" s="14"/>
      <c r="U3" s="14" t="s">
        <v>705</v>
      </c>
      <c r="V3" s="33" t="n">
        <v>46296.0</v>
      </c>
      <c r="W3" s="15"/>
    </row>
    <row r="4" spans="1:23" ht="76.0" customHeight="true">
      <c r="A4" s="14" t="s">
        <v>560</v>
      </c>
      <c r="B4" s="15" t="s">
        <v>555</v>
      </c>
      <c r="C4" s="14" t="s">
        <v>556</v>
      </c>
      <c r="D4" s="15" t="s">
        <v>561</v>
      </c>
      <c r="E4" s="14" t="s">
        <v>106</v>
      </c>
      <c r="F4" s="15" t="s">
        <v>562</v>
      </c>
      <c r="G4" s="15" t="s">
        <v>563</v>
      </c>
      <c r="H4" s="15" t="s">
        <v>563</v>
      </c>
      <c r="I4" s="14" t="s">
        <v>27</v>
      </c>
      <c r="J4" s="14" t="s">
        <v>34</v>
      </c>
      <c r="K4" s="14" t="s">
        <v>34</v>
      </c>
      <c r="L4" s="14" t="s">
        <v>72</v>
      </c>
      <c r="M4" s="30" t="n">
        <f>IF(OR(K4="",L4=""),"",MATCH(K4,Lists!$C$2:$C$5,0)*MATCH(L4,Lists!$D$2:$D$6,0))</f>
        <v>1.0</v>
      </c>
      <c r="N4" s="30" t="str">
        <f t="shared" si="0"/>
        <v>Low</v>
      </c>
      <c r="O4" s="30" t="str">
        <f t="shared" si="1"/>
        <v>P4</v>
      </c>
      <c r="P4" s="14" t="s">
        <v>77</v>
      </c>
      <c r="Q4" s="14" t="s">
        <v>78</v>
      </c>
      <c r="R4" s="14" t="s">
        <v>74</v>
      </c>
      <c r="S4" s="14" t="s">
        <v>98</v>
      </c>
      <c r="T4" s="14"/>
      <c r="U4" s="14" t="s">
        <v>705</v>
      </c>
      <c r="V4" s="33" t="n">
        <v>46296.0</v>
      </c>
      <c r="W4" s="15"/>
    </row>
    <row r="5" spans="1:23" ht="112.0" customHeight="true">
      <c r="A5" s="14" t="s">
        <v>663</v>
      </c>
      <c r="B5" s="15" t="s">
        <v>637</v>
      </c>
      <c r="C5" s="14" t="s">
        <v>664</v>
      </c>
      <c r="D5" s="15" t="s">
        <v>665</v>
      </c>
      <c r="E5" s="14" t="s">
        <v>106</v>
      </c>
      <c r="F5" s="15" t="s">
        <v>666</v>
      </c>
      <c r="G5" s="15" t="s">
        <v>667</v>
      </c>
      <c r="H5" s="15" t="s">
        <v>667</v>
      </c>
      <c r="I5" s="14" t="s">
        <v>27</v>
      </c>
      <c r="J5" s="14" t="s">
        <v>34</v>
      </c>
      <c r="K5" s="14" t="s">
        <v>34</v>
      </c>
      <c r="L5" s="14" t="s">
        <v>72</v>
      </c>
      <c r="M5" s="30" t="n">
        <f>IF(OR(K5="",L5=""),"",MATCH(K5,Lists!$C$2:$C$5,0)*MATCH(L5,Lists!$D$2:$D$6,0))</f>
        <v>1.0</v>
      </c>
      <c r="N5" s="30" t="str">
        <f t="shared" si="0"/>
        <v>Low</v>
      </c>
      <c r="O5" s="30" t="str">
        <f t="shared" si="1"/>
        <v>P4</v>
      </c>
      <c r="P5" s="14" t="s">
        <v>77</v>
      </c>
      <c r="Q5" s="14" t="s">
        <v>74</v>
      </c>
      <c r="R5" s="14" t="s">
        <v>74</v>
      </c>
      <c r="S5" s="14" t="s">
        <v>98</v>
      </c>
      <c r="T5" s="14"/>
      <c r="U5" s="14" t="s">
        <v>705</v>
      </c>
      <c r="V5" s="33" t="n">
        <v>46296.0</v>
      </c>
      <c r="W5" s="15"/>
    </row>
    <row r="6" spans="1:23" ht="76.0" customHeight="true">
      <c r="A6" s="14" t="s">
        <v>682</v>
      </c>
      <c r="B6" s="15" t="s">
        <v>637</v>
      </c>
      <c r="C6" s="14" t="s">
        <v>683</v>
      </c>
      <c r="D6" s="15" t="s">
        <v>684</v>
      </c>
      <c r="E6" s="14" t="s">
        <v>70</v>
      </c>
      <c r="F6" s="15" t="s">
        <v>685</v>
      </c>
      <c r="G6" s="15" t="s">
        <v>686</v>
      </c>
      <c r="H6" s="15" t="s">
        <v>706</v>
      </c>
      <c r="I6" s="14" t="s">
        <v>707</v>
      </c>
      <c r="J6" s="14" t="s">
        <v>34</v>
      </c>
      <c r="K6" s="14" t="s">
        <v>34</v>
      </c>
      <c r="L6" s="14" t="s">
        <v>72</v>
      </c>
      <c r="M6" s="30" t="n">
        <f>IF(OR(K6="",L6=""),"",MATCH(K6,Lists!$C$2:$C$5,0)*MATCH(L6,Lists!$D$2:$D$6,0))</f>
        <v>1.0</v>
      </c>
      <c r="N6" s="30" t="str">
        <f t="shared" si="0"/>
        <v>Low</v>
      </c>
      <c r="O6" s="30" t="str">
        <f t="shared" si="1"/>
        <v>P4</v>
      </c>
      <c r="P6" s="14" t="s">
        <v>111</v>
      </c>
      <c r="Q6" s="14" t="s">
        <v>74</v>
      </c>
      <c r="R6" s="14" t="s">
        <v>74</v>
      </c>
      <c r="S6" s="14" t="s">
        <v>98</v>
      </c>
      <c r="T6" s="14"/>
      <c r="U6" s="14" t="s">
        <v>705</v>
      </c>
      <c r="V6" s="33" t="n">
        <v>46296.0</v>
      </c>
      <c r="W6" s="15"/>
    </row>
    <row r="7" spans="1:23" ht="100.0" customHeight="true">
      <c r="A7" s="14" t="s">
        <v>688</v>
      </c>
      <c r="B7" s="15" t="s">
        <v>637</v>
      </c>
      <c r="C7" s="14" t="s">
        <v>638</v>
      </c>
      <c r="D7" s="15" t="s">
        <v>689</v>
      </c>
      <c r="E7" s="14" t="s">
        <v>70</v>
      </c>
      <c r="F7" s="15" t="s">
        <v>690</v>
      </c>
      <c r="G7" s="15" t="s">
        <v>691</v>
      </c>
      <c r="H7" s="15" t="s">
        <v>706</v>
      </c>
      <c r="I7" s="14" t="s">
        <v>707</v>
      </c>
      <c r="J7" s="14" t="s">
        <v>34</v>
      </c>
      <c r="K7" s="14" t="s">
        <v>34</v>
      </c>
      <c r="L7" s="14" t="s">
        <v>72</v>
      </c>
      <c r="M7" s="30" t="n">
        <f>IF(OR(K7="",L7=""),"",MATCH(K7,Lists!$C$2:$C$5,0)*MATCH(L7,Lists!$D$2:$D$6,0))</f>
        <v>1.0</v>
      </c>
      <c r="N7" s="30" t="str">
        <f t="shared" si="0"/>
        <v>Low</v>
      </c>
      <c r="O7" s="30" t="str">
        <f t="shared" si="1"/>
        <v>P4</v>
      </c>
      <c r="P7" s="14" t="s">
        <v>111</v>
      </c>
      <c r="Q7" s="14" t="s">
        <v>74</v>
      </c>
      <c r="R7" s="14" t="s">
        <v>74</v>
      </c>
      <c r="S7" s="14" t="s">
        <v>98</v>
      </c>
      <c r="T7" s="14"/>
      <c r="U7" s="14" t="s">
        <v>705</v>
      </c>
      <c r="V7" s="33" t="n">
        <v>46296.0</v>
      </c>
      <c r="W7" s="15"/>
    </row>
    <row r="8" spans="1:23" ht="124" customHeight="1">
      <c r="A8" s="14"/>
      <c r="B8" s="15"/>
      <c r="C8" s="14"/>
      <c r="D8" s="15"/>
      <c r="E8" s="14"/>
      <c r="F8" s="15"/>
      <c r="G8" s="15"/>
      <c r="H8" s="15"/>
      <c r="I8" s="14"/>
      <c r="J8" s="14"/>
      <c r="K8" s="14"/>
      <c r="L8" s="14"/>
      <c r="M8" s="30" t="str">
        <f>IF(OR(K8="",L8=""),"",MATCH(K8,Lists!$C$2:$C$5,0)*MATCH(L8,Lists!$D$2:$D$6,0))</f>
        <v/>
      </c>
      <c r="N8" s="30" t="str">
        <f t="shared" si="0"/>
        <v/>
      </c>
      <c r="O8" s="30" t="str">
        <f t="shared" si="1"/>
        <v/>
      </c>
      <c r="P8" s="14"/>
      <c r="Q8" s="14"/>
      <c r="R8" s="14"/>
      <c r="S8" s="14"/>
      <c r="T8" s="14"/>
      <c r="U8" s="14"/>
      <c r="V8" s="33"/>
      <c r="W8" s="15"/>
    </row>
    <row r="9" spans="1:23" ht="184" customHeight="1">
      <c r="A9" s="14"/>
      <c r="B9" s="15"/>
      <c r="C9" s="14"/>
      <c r="D9" s="15"/>
      <c r="E9" s="14"/>
      <c r="F9" s="15"/>
      <c r="G9" s="15"/>
      <c r="H9" s="15"/>
      <c r="I9" s="14"/>
      <c r="J9" s="14"/>
      <c r="K9" s="14"/>
      <c r="L9" s="14"/>
      <c r="M9" s="30" t="str">
        <f>IF(OR(K9="",L9=""),"",MATCH(K9,Lists!$C$2:$C$5,0)*MATCH(L9,Lists!$D$2:$D$6,0))</f>
        <v/>
      </c>
      <c r="N9" s="30" t="str">
        <f t="shared" si="0"/>
        <v/>
      </c>
      <c r="O9" s="30" t="str">
        <f t="shared" si="1"/>
        <v/>
      </c>
      <c r="P9" s="14"/>
      <c r="Q9" s="14"/>
      <c r="R9" s="14"/>
      <c r="S9" s="14"/>
      <c r="T9" s="14"/>
      <c r="U9" s="14"/>
      <c r="V9" s="33"/>
      <c r="W9" s="15"/>
    </row>
    <row r="10" spans="1:23" ht="148" customHeight="1">
      <c r="A10" s="14"/>
      <c r="B10" s="15"/>
      <c r="C10" s="14"/>
      <c r="D10" s="15"/>
      <c r="E10" s="14"/>
      <c r="F10" s="15"/>
      <c r="G10" s="15"/>
      <c r="H10" s="15"/>
      <c r="I10" s="14"/>
      <c r="J10" s="14"/>
      <c r="K10" s="14"/>
      <c r="L10" s="14"/>
      <c r="M10" s="30" t="str">
        <f>IF(OR(K10="",L10=""),"",MATCH(K10,Lists!$C$2:$C$5,0)*MATCH(L10,Lists!$D$2:$D$6,0))</f>
        <v/>
      </c>
      <c r="N10" s="30" t="str">
        <f t="shared" si="0"/>
        <v/>
      </c>
      <c r="O10" s="30" t="str">
        <f t="shared" si="1"/>
        <v/>
      </c>
      <c r="P10" s="14"/>
      <c r="Q10" s="14"/>
      <c r="R10" s="14"/>
      <c r="S10" s="14"/>
      <c r="T10" s="14"/>
      <c r="U10" s="14"/>
      <c r="V10" s="33"/>
      <c r="W10" s="15"/>
    </row>
    <row r="11" spans="1:23" ht="124" customHeight="1">
      <c r="A11" s="14"/>
      <c r="B11" s="15"/>
      <c r="C11" s="14"/>
      <c r="D11" s="15"/>
      <c r="E11" s="14"/>
      <c r="F11" s="15"/>
      <c r="G11" s="15"/>
      <c r="H11" s="15"/>
      <c r="I11" s="14"/>
      <c r="J11" s="14"/>
      <c r="K11" s="14"/>
      <c r="L11" s="14"/>
      <c r="M11" s="30" t="str">
        <f>IF(OR(K11="",L11=""),"",MATCH(K11,Lists!$C$2:$C$5,0)*MATCH(L11,Lists!$D$2:$D$6,0))</f>
        <v/>
      </c>
      <c r="N11" s="30" t="str">
        <f t="shared" si="0"/>
        <v/>
      </c>
      <c r="O11" s="30" t="str">
        <f t="shared" si="1"/>
        <v/>
      </c>
      <c r="P11" s="14"/>
      <c r="Q11" s="14"/>
      <c r="R11" s="14"/>
      <c r="S11" s="14"/>
      <c r="T11" s="14"/>
      <c r="U11" s="14"/>
      <c r="V11" s="33"/>
      <c r="W11" s="15"/>
    </row>
    <row r="12" spans="1:23" ht="172" customHeight="1">
      <c r="A12" s="14"/>
      <c r="B12" s="15"/>
      <c r="C12" s="14"/>
      <c r="D12" s="15"/>
      <c r="E12" s="14"/>
      <c r="F12" s="15"/>
      <c r="G12" s="15"/>
      <c r="H12" s="15"/>
      <c r="I12" s="14"/>
      <c r="J12" s="14"/>
      <c r="K12" s="14"/>
      <c r="L12" s="14"/>
      <c r="M12" s="30" t="str">
        <f>IF(OR(K12="",L12=""),"",MATCH(K12,Lists!$C$2:$C$5,0)*MATCH(L12,Lists!$D$2:$D$6,0))</f>
        <v/>
      </c>
      <c r="N12" s="30" t="str">
        <f t="shared" si="0"/>
        <v/>
      </c>
      <c r="O12" s="30" t="str">
        <f t="shared" si="1"/>
        <v/>
      </c>
      <c r="P12" s="14"/>
      <c r="Q12" s="14"/>
      <c r="R12" s="14"/>
      <c r="S12" s="14"/>
      <c r="T12" s="14"/>
      <c r="U12" s="14"/>
      <c r="V12" s="33"/>
      <c r="W12" s="15"/>
    </row>
    <row r="13" spans="1:23" ht="148" customHeight="1">
      <c r="A13" s="14"/>
      <c r="B13" s="15"/>
      <c r="C13" s="14"/>
      <c r="D13" s="15"/>
      <c r="E13" s="14"/>
      <c r="F13" s="15"/>
      <c r="G13" s="15"/>
      <c r="H13" s="15"/>
      <c r="I13" s="14"/>
      <c r="J13" s="14"/>
      <c r="K13" s="14"/>
      <c r="L13" s="14"/>
      <c r="M13" s="30" t="str">
        <f>IF(OR(K13="",L13=""),"",MATCH(K13,Lists!$C$2:$C$5,0)*MATCH(L13,Lists!$D$2:$D$6,0))</f>
        <v/>
      </c>
      <c r="N13" s="30" t="str">
        <f t="shared" si="0"/>
        <v/>
      </c>
      <c r="O13" s="30" t="str">
        <f t="shared" si="1"/>
        <v/>
      </c>
      <c r="P13" s="14"/>
      <c r="Q13" s="14"/>
      <c r="R13" s="14"/>
      <c r="S13" s="14"/>
      <c r="T13" s="14"/>
      <c r="U13" s="14"/>
      <c r="V13" s="33"/>
      <c r="W13" s="15"/>
    </row>
    <row r="14" spans="1:23" ht="196" customHeight="1">
      <c r="A14" s="14"/>
      <c r="B14" s="15"/>
      <c r="C14" s="14"/>
      <c r="D14" s="15"/>
      <c r="E14" s="14"/>
      <c r="F14" s="15"/>
      <c r="G14" s="15"/>
      <c r="H14" s="15"/>
      <c r="I14" s="14"/>
      <c r="J14" s="14"/>
      <c r="K14" s="14"/>
      <c r="L14" s="14"/>
      <c r="M14" s="30" t="str">
        <f>IF(OR(K14="",L14=""),"",MATCH(K14,Lists!$C$2:$C$5,0)*MATCH(L14,Lists!$D$2:$D$6,0))</f>
        <v/>
      </c>
      <c r="N14" s="30" t="str">
        <f t="shared" si="0"/>
        <v/>
      </c>
      <c r="O14" s="30" t="str">
        <f t="shared" si="1"/>
        <v/>
      </c>
      <c r="P14" s="14"/>
      <c r="Q14" s="14"/>
      <c r="R14" s="14"/>
      <c r="S14" s="14"/>
      <c r="T14" s="14"/>
      <c r="U14" s="14"/>
      <c r="V14" s="33"/>
      <c r="W14" s="15"/>
    </row>
    <row r="15" spans="1:23" ht="124" customHeight="1">
      <c r="A15" s="14"/>
      <c r="B15" s="15"/>
      <c r="C15" s="14"/>
      <c r="D15" s="15"/>
      <c r="E15" s="14"/>
      <c r="F15" s="15"/>
      <c r="G15" s="15"/>
      <c r="H15" s="15"/>
      <c r="I15" s="14"/>
      <c r="J15" s="14"/>
      <c r="K15" s="14"/>
      <c r="L15" s="14"/>
      <c r="M15" s="30" t="str">
        <f>IF(OR(K15="",L15=""),"",MATCH(K15,Lists!$C$2:$C$5,0)*MATCH(L15,Lists!$D$2:$D$6,0))</f>
        <v/>
      </c>
      <c r="N15" s="30" t="str">
        <f t="shared" si="0"/>
        <v/>
      </c>
      <c r="O15" s="30" t="str">
        <f t="shared" si="1"/>
        <v/>
      </c>
      <c r="P15" s="14"/>
      <c r="Q15" s="14"/>
      <c r="R15" s="14"/>
      <c r="S15" s="14"/>
      <c r="T15" s="14"/>
      <c r="U15" s="14"/>
      <c r="V15" s="33"/>
      <c r="W15" s="15"/>
    </row>
    <row r="16" spans="1:23" ht="124" customHeight="1">
      <c r="A16" s="14"/>
      <c r="B16" s="15"/>
      <c r="C16" s="14"/>
      <c r="D16" s="15"/>
      <c r="E16" s="14"/>
      <c r="F16" s="15"/>
      <c r="G16" s="15"/>
      <c r="H16" s="15"/>
      <c r="I16" s="14"/>
      <c r="J16" s="14"/>
      <c r="K16" s="14"/>
      <c r="L16" s="14"/>
      <c r="M16" s="30" t="str">
        <f>IF(OR(K16="",L16=""),"",MATCH(K16,Lists!$C$2:$C$5,0)*MATCH(L16,Lists!$D$2:$D$6,0))</f>
        <v/>
      </c>
      <c r="N16" s="30" t="str">
        <f t="shared" si="0"/>
        <v/>
      </c>
      <c r="O16" s="30" t="str">
        <f t="shared" si="1"/>
        <v/>
      </c>
      <c r="P16" s="14"/>
      <c r="Q16" s="14"/>
      <c r="R16" s="14"/>
      <c r="S16" s="14"/>
      <c r="T16" s="14"/>
      <c r="U16" s="14"/>
      <c r="V16" s="33"/>
      <c r="W16" s="15"/>
    </row>
    <row r="17" spans="1:23" ht="148" customHeight="1">
      <c r="A17" s="14"/>
      <c r="B17" s="15"/>
      <c r="C17" s="14"/>
      <c r="D17" s="15"/>
      <c r="E17" s="14"/>
      <c r="F17" s="15"/>
      <c r="G17" s="15"/>
      <c r="H17" s="15"/>
      <c r="I17" s="14"/>
      <c r="J17" s="14"/>
      <c r="K17" s="14"/>
      <c r="L17" s="14"/>
      <c r="M17" s="30" t="str">
        <f>IF(OR(K17="",L17=""),"",MATCH(K17,Lists!$C$2:$C$5,0)*MATCH(L17,Lists!$D$2:$D$6,0))</f>
        <v/>
      </c>
      <c r="N17" s="30" t="str">
        <f t="shared" si="0"/>
        <v/>
      </c>
      <c r="O17" s="30" t="str">
        <f t="shared" si="1"/>
        <v/>
      </c>
      <c r="P17" s="14"/>
      <c r="Q17" s="14"/>
      <c r="R17" s="14"/>
      <c r="S17" s="14"/>
      <c r="T17" s="14"/>
      <c r="U17" s="14"/>
      <c r="V17" s="33"/>
      <c r="W17" s="15"/>
    </row>
    <row r="18" spans="1:23" ht="148" customHeight="1">
      <c r="A18" s="14"/>
      <c r="B18" s="15"/>
      <c r="C18" s="14"/>
      <c r="D18" s="15"/>
      <c r="E18" s="14"/>
      <c r="F18" s="15"/>
      <c r="G18" s="15"/>
      <c r="H18" s="15"/>
      <c r="I18" s="14"/>
      <c r="J18" s="14"/>
      <c r="K18" s="14"/>
      <c r="L18" s="14"/>
      <c r="M18" s="30" t="str">
        <f>IF(OR(K18="",L18=""),"",MATCH(K18,Lists!$C$2:$C$5,0)*MATCH(L18,Lists!$D$2:$D$6,0))</f>
        <v/>
      </c>
      <c r="N18" s="30" t="str">
        <f t="shared" si="0"/>
        <v/>
      </c>
      <c r="O18" s="30" t="str">
        <f t="shared" si="1"/>
        <v/>
      </c>
      <c r="P18" s="14"/>
      <c r="Q18" s="14"/>
      <c r="R18" s="14"/>
      <c r="S18" s="14"/>
      <c r="T18" s="14"/>
      <c r="U18" s="14"/>
      <c r="V18" s="33"/>
      <c r="W18" s="15"/>
    </row>
    <row r="19" spans="1:23" ht="148" customHeight="1">
      <c r="A19" s="14"/>
      <c r="B19" s="15"/>
      <c r="C19" s="14"/>
      <c r="D19" s="15"/>
      <c r="E19" s="14"/>
      <c r="F19" s="15"/>
      <c r="G19" s="15"/>
      <c r="H19" s="15"/>
      <c r="I19" s="14"/>
      <c r="J19" s="14"/>
      <c r="K19" s="14"/>
      <c r="L19" s="14"/>
      <c r="M19" s="30" t="str">
        <f>IF(OR(K19="",L19=""),"",MATCH(K19,Lists!$C$2:$C$5,0)*MATCH(L19,Lists!$D$2:$D$6,0))</f>
        <v/>
      </c>
      <c r="N19" s="30" t="str">
        <f t="shared" si="0"/>
        <v/>
      </c>
      <c r="O19" s="30" t="str">
        <f t="shared" si="1"/>
        <v/>
      </c>
      <c r="P19" s="14"/>
      <c r="Q19" s="14"/>
      <c r="R19" s="14"/>
      <c r="S19" s="14"/>
      <c r="T19" s="14"/>
      <c r="U19" s="14"/>
      <c r="V19" s="33"/>
      <c r="W19" s="15"/>
    </row>
    <row r="20" spans="1:23" ht="124" customHeight="1">
      <c r="A20" s="14"/>
      <c r="B20" s="15"/>
      <c r="C20" s="14"/>
      <c r="D20" s="15"/>
      <c r="E20" s="14"/>
      <c r="F20" s="15"/>
      <c r="G20" s="15"/>
      <c r="H20" s="15"/>
      <c r="I20" s="14"/>
      <c r="J20" s="14"/>
      <c r="K20" s="14"/>
      <c r="L20" s="14"/>
      <c r="M20" s="30" t="str">
        <f>IF(OR(K20="",L20=""),"",MATCH(K20,Lists!$C$2:$C$5,0)*MATCH(L20,Lists!$D$2:$D$6,0))</f>
        <v/>
      </c>
      <c r="N20" s="30" t="str">
        <f t="shared" si="0"/>
        <v/>
      </c>
      <c r="O20" s="30" t="str">
        <f t="shared" si="1"/>
        <v/>
      </c>
      <c r="P20" s="14"/>
      <c r="Q20" s="14"/>
      <c r="R20" s="14"/>
      <c r="S20" s="14"/>
      <c r="T20" s="14"/>
      <c r="U20" s="14"/>
      <c r="V20" s="33"/>
      <c r="W20" s="15"/>
    </row>
    <row r="21" spans="1:23" ht="124" customHeight="1">
      <c r="A21" s="16"/>
      <c r="B21" s="17"/>
      <c r="C21" s="16"/>
      <c r="D21" s="17"/>
      <c r="E21" s="16"/>
      <c r="F21" s="17"/>
      <c r="G21" s="17"/>
      <c r="H21" s="17"/>
      <c r="I21" s="16"/>
      <c r="J21" s="16"/>
      <c r="K21" s="16"/>
      <c r="L21" s="16"/>
      <c r="M21" s="31" t="str">
        <f>IF(OR(K21="",L21=""),"",MATCH(K21,Lists!$C$2:$C$5,0)*MATCH(L21,Lists!$D$2:$D$6,0))</f>
        <v/>
      </c>
      <c r="N21" s="31" t="str">
        <f t="shared" si="0"/>
        <v/>
      </c>
      <c r="O21" s="31" t="str">
        <f t="shared" si="1"/>
        <v/>
      </c>
      <c r="P21" s="16"/>
      <c r="Q21" s="16"/>
      <c r="R21" s="16"/>
      <c r="S21" s="16"/>
      <c r="T21" s="16"/>
      <c r="U21" s="16"/>
      <c r="V21" s="34"/>
      <c r="W21" s="17"/>
    </row>
    <row r="22" spans="1:23" ht="172" customHeight="1">
      <c r="A22" s="18"/>
      <c r="B22" s="19"/>
      <c r="C22" s="18"/>
      <c r="D22" s="19"/>
      <c r="E22" s="18"/>
      <c r="F22" s="19"/>
      <c r="G22" s="19"/>
      <c r="H22" s="19"/>
      <c r="I22" s="18"/>
      <c r="J22" s="18"/>
      <c r="K22" s="18"/>
      <c r="L22" s="18"/>
      <c r="M22" s="32" t="str">
        <f>IF(OR(K22="",L22=""),"",MATCH(K22,Lists!$C$2:$C$5,0)*MATCH(L22,Lists!$D$2:$D$6,0))</f>
        <v/>
      </c>
      <c r="N22" s="32" t="str">
        <f t="shared" si="0"/>
        <v/>
      </c>
      <c r="O22" s="32" t="str">
        <f t="shared" si="1"/>
        <v/>
      </c>
      <c r="P22" s="18"/>
      <c r="Q22" s="18"/>
      <c r="R22" s="18"/>
      <c r="S22" s="18"/>
      <c r="T22" s="18"/>
      <c r="U22" s="18"/>
      <c r="V22" s="35"/>
      <c r="W22" s="19"/>
    </row>
    <row r="23" spans="1:23" ht="184" customHeight="1">
      <c r="A23" s="20"/>
      <c r="B23" s="21"/>
      <c r="C23" s="18"/>
      <c r="D23" s="19"/>
      <c r="E23" s="18"/>
      <c r="F23" s="19"/>
      <c r="G23" s="19"/>
      <c r="H23" s="19"/>
      <c r="I23" s="18"/>
      <c r="J23" s="18"/>
      <c r="K23" s="18"/>
      <c r="L23" s="18"/>
      <c r="M23" s="32" t="str">
        <f>IF(OR(K23="",L23=""),"",MATCH(K23,Lists!$C$2:$C$5,0)*MATCH(L23,Lists!$D$2:$D$6,0))</f>
        <v/>
      </c>
      <c r="N23" s="32" t="str">
        <f t="shared" si="0"/>
        <v/>
      </c>
      <c r="O23" s="32" t="str">
        <f t="shared" si="1"/>
        <v/>
      </c>
      <c r="P23" s="18"/>
      <c r="Q23" s="18"/>
      <c r="R23" s="18"/>
      <c r="S23" s="18"/>
      <c r="T23" s="18"/>
      <c r="U23" s="18"/>
      <c r="V23" s="35"/>
      <c r="W23" s="19"/>
    </row>
    <row r="24" spans="1:23" ht="184" customHeight="1">
      <c r="A24" s="22"/>
      <c r="B24" s="23"/>
      <c r="C24" s="18"/>
      <c r="D24" s="19"/>
      <c r="E24" s="18"/>
      <c r="F24" s="19"/>
      <c r="G24" s="19"/>
      <c r="H24" s="19"/>
      <c r="I24" s="18"/>
      <c r="J24" s="18"/>
      <c r="K24" s="18"/>
      <c r="L24" s="18"/>
      <c r="M24" s="32" t="str">
        <f>IF(OR(K24="",L24=""),"",MATCH(K24,Lists!$C$2:$C$5,0)*MATCH(L24,Lists!$D$2:$D$6,0))</f>
        <v/>
      </c>
      <c r="N24" s="32" t="str">
        <f t="shared" si="0"/>
        <v/>
      </c>
      <c r="O24" s="32" t="str">
        <f t="shared" si="1"/>
        <v/>
      </c>
      <c r="P24" s="18"/>
      <c r="Q24" s="18"/>
      <c r="R24" s="18"/>
      <c r="S24" s="18"/>
      <c r="T24" s="18"/>
      <c r="U24" s="18"/>
      <c r="V24" s="35"/>
      <c r="W24" s="19"/>
    </row>
    <row r="25" spans="1:23" ht="184" customHeight="1">
      <c r="A25" s="24"/>
      <c r="B25" s="25"/>
      <c r="C25" s="18"/>
      <c r="D25" s="19"/>
      <c r="E25" s="18"/>
      <c r="F25" s="19"/>
      <c r="G25" s="19"/>
      <c r="H25" s="19"/>
      <c r="I25" s="18"/>
      <c r="J25" s="18"/>
      <c r="K25" s="18"/>
      <c r="L25" s="18"/>
      <c r="M25" s="32" t="str">
        <f>IF(OR(K25="",L25=""),"",MATCH(K25,Lists!$C$2:$C$5,0)*MATCH(L25,Lists!$D$2:$D$6,0))</f>
        <v/>
      </c>
      <c r="N25" s="32" t="str">
        <f t="shared" si="0"/>
        <v/>
      </c>
      <c r="O25" s="32" t="str">
        <f t="shared" si="1"/>
        <v/>
      </c>
      <c r="P25" s="18"/>
      <c r="Q25" s="18"/>
      <c r="R25" s="18"/>
      <c r="S25" s="18"/>
      <c r="T25" s="18"/>
      <c r="U25" s="18"/>
      <c r="V25" s="35"/>
      <c r="W25" s="19"/>
    </row>
    <row r="26" spans="1:23" ht="184" customHeight="1">
      <c r="A26" s="26"/>
      <c r="B26" s="19"/>
      <c r="C26" s="18"/>
      <c r="D26" s="19"/>
      <c r="E26" s="18"/>
      <c r="F26" s="19"/>
      <c r="G26" s="19"/>
      <c r="H26" s="19"/>
      <c r="I26" s="18"/>
      <c r="J26" s="18"/>
      <c r="K26" s="18"/>
      <c r="L26" s="18"/>
      <c r="M26" s="32" t="str">
        <f>IF(OR(K26="",L26=""),"",MATCH(K26,Lists!$C$2:$C$5,0)*MATCH(L26,Lists!$D$2:$D$6,0))</f>
        <v/>
      </c>
      <c r="N26" s="32" t="str">
        <f t="shared" si="0"/>
        <v/>
      </c>
      <c r="O26" s="32" t="str">
        <f t="shared" si="1"/>
        <v/>
      </c>
      <c r="P26" s="18"/>
      <c r="Q26" s="18"/>
      <c r="R26" s="18"/>
      <c r="S26" s="18"/>
      <c r="T26" s="18"/>
      <c r="U26" s="18"/>
      <c r="V26" s="35"/>
      <c r="W26" s="19"/>
    </row>
    <row r="27" spans="1:23" ht="136" customHeight="1">
      <c r="A27" s="18"/>
      <c r="B27" s="19"/>
      <c r="C27" s="18"/>
      <c r="D27" s="19"/>
      <c r="E27" s="18"/>
      <c r="F27" s="19"/>
      <c r="G27" s="19"/>
      <c r="H27" s="19"/>
      <c r="I27" s="18"/>
      <c r="J27" s="18"/>
      <c r="K27" s="18"/>
      <c r="L27" s="18"/>
      <c r="M27" s="32" t="str">
        <f>IF(OR(K27="",L27=""),"",MATCH(K27,Lists!$C$2:$C$5,0)*MATCH(L27,Lists!$D$2:$D$6,0))</f>
        <v/>
      </c>
      <c r="N27" s="32" t="str">
        <f t="shared" si="0"/>
        <v/>
      </c>
      <c r="O27" s="32" t="str">
        <f t="shared" si="1"/>
        <v/>
      </c>
      <c r="P27" s="18"/>
      <c r="Q27" s="18"/>
      <c r="R27" s="18"/>
      <c r="S27" s="18"/>
      <c r="T27" s="18"/>
      <c r="U27" s="18"/>
      <c r="V27" s="35"/>
      <c r="W27" s="19"/>
    </row>
    <row r="28" spans="1:23" ht="136" customHeight="1">
      <c r="A28" s="18"/>
      <c r="B28" s="19"/>
      <c r="C28" s="18"/>
      <c r="D28" s="19"/>
      <c r="E28" s="18"/>
      <c r="F28" s="19"/>
      <c r="G28" s="19"/>
      <c r="H28" s="19"/>
      <c r="I28" s="18"/>
      <c r="J28" s="18"/>
      <c r="K28" s="18"/>
      <c r="L28" s="18"/>
      <c r="M28" s="32" t="str">
        <f>IF(OR(K28="",L28=""),"",MATCH(K28,Lists!$C$2:$C$5,0)*MATCH(L28,Lists!$D$2:$D$6,0))</f>
        <v/>
      </c>
      <c r="N28" s="32" t="str">
        <f t="shared" si="0"/>
        <v/>
      </c>
      <c r="O28" s="32" t="str">
        <f t="shared" si="1"/>
        <v/>
      </c>
      <c r="P28" s="18"/>
      <c r="Q28" s="18"/>
      <c r="R28" s="18"/>
      <c r="S28" s="18"/>
      <c r="T28" s="18"/>
      <c r="U28" s="18"/>
      <c r="V28" s="35"/>
      <c r="W28" s="19"/>
    </row>
    <row r="29" spans="1:23" ht="124" customHeight="1">
      <c r="A29" s="18"/>
      <c r="B29" s="19"/>
      <c r="C29" s="18"/>
      <c r="D29" s="19"/>
      <c r="E29" s="18"/>
      <c r="F29" s="19"/>
      <c r="G29" s="19"/>
      <c r="H29" s="19"/>
      <c r="I29" s="18"/>
      <c r="J29" s="18"/>
      <c r="K29" s="18"/>
      <c r="L29" s="18"/>
      <c r="M29" s="32" t="str">
        <f>IF(OR(K29="",L29=""),"",MATCH(K29,Lists!$C$2:$C$5,0)*MATCH(L29,Lists!$D$2:$D$6,0))</f>
        <v/>
      </c>
      <c r="N29" s="32" t="str">
        <f t="shared" si="0"/>
        <v/>
      </c>
      <c r="O29" s="32" t="str">
        <f t="shared" si="1"/>
        <v/>
      </c>
      <c r="P29" s="18"/>
      <c r="Q29" s="18"/>
      <c r="R29" s="18"/>
      <c r="S29" s="18"/>
      <c r="T29" s="18"/>
      <c r="U29" s="18"/>
      <c r="V29" s="35"/>
      <c r="W29" s="19"/>
    </row>
    <row r="30" spans="1:23" ht="136" customHeight="1">
      <c r="A30" s="18"/>
      <c r="B30" s="19"/>
      <c r="C30" s="18"/>
      <c r="D30" s="19"/>
      <c r="E30" s="18"/>
      <c r="F30" s="19"/>
      <c r="G30" s="19"/>
      <c r="H30" s="19"/>
      <c r="I30" s="18"/>
      <c r="J30" s="18"/>
      <c r="K30" s="18"/>
      <c r="L30" s="18"/>
      <c r="M30" s="32" t="str">
        <f>IF(OR(K30="",L30=""),"",MATCH(K30,Lists!$C$2:$C$5,0)*MATCH(L30,Lists!$D$2:$D$6,0))</f>
        <v/>
      </c>
      <c r="N30" s="32" t="str">
        <f t="shared" si="0"/>
        <v/>
      </c>
      <c r="O30" s="32" t="str">
        <f t="shared" si="1"/>
        <v/>
      </c>
      <c r="P30" s="18"/>
      <c r="Q30" s="18"/>
      <c r="R30" s="18"/>
      <c r="S30" s="18"/>
      <c r="T30" s="18"/>
      <c r="U30" s="18"/>
      <c r="V30" s="35"/>
      <c r="W30" s="19"/>
    </row>
    <row r="31" spans="1:23" ht="136" customHeight="1">
      <c r="A31" s="18"/>
      <c r="B31" s="19"/>
      <c r="C31" s="18"/>
      <c r="D31" s="19"/>
      <c r="E31" s="18"/>
      <c r="F31" s="19"/>
      <c r="G31" s="19"/>
      <c r="H31" s="19"/>
      <c r="I31" s="18"/>
      <c r="J31" s="18"/>
      <c r="K31" s="18"/>
      <c r="L31" s="18"/>
      <c r="M31" s="32" t="str">
        <f>IF(OR(K31="",L31=""),"",MATCH(K31,Lists!$C$2:$C$5,0)*MATCH(L31,Lists!$D$2:$D$6,0))</f>
        <v/>
      </c>
      <c r="N31" s="32" t="str">
        <f t="shared" si="0"/>
        <v/>
      </c>
      <c r="O31" s="32" t="str">
        <f t="shared" si="1"/>
        <v/>
      </c>
      <c r="P31" s="18"/>
      <c r="Q31" s="18"/>
      <c r="R31" s="18"/>
      <c r="S31" s="18"/>
      <c r="T31" s="18"/>
      <c r="U31" s="18"/>
      <c r="V31" s="35"/>
      <c r="W31" s="19"/>
    </row>
    <row r="32" spans="1:23" ht="148" customHeight="1">
      <c r="A32" s="18"/>
      <c r="B32" s="19"/>
      <c r="C32" s="18"/>
      <c r="D32" s="19"/>
      <c r="E32" s="18"/>
      <c r="F32" s="19"/>
      <c r="G32" s="19"/>
      <c r="H32" s="19"/>
      <c r="I32" s="18"/>
      <c r="J32" s="18"/>
      <c r="K32" s="18"/>
      <c r="L32" s="18"/>
      <c r="M32" s="32" t="str">
        <f>IF(OR(K32="",L32=""),"",MATCH(K32,Lists!$C$2:$C$5,0)*MATCH(L32,Lists!$D$2:$D$6,0))</f>
        <v/>
      </c>
      <c r="N32" s="32" t="str">
        <f t="shared" si="0"/>
        <v/>
      </c>
      <c r="O32" s="32" t="str">
        <f t="shared" si="1"/>
        <v/>
      </c>
      <c r="P32" s="18"/>
      <c r="Q32" s="18"/>
      <c r="R32" s="18"/>
      <c r="S32" s="18"/>
      <c r="T32" s="18"/>
      <c r="U32" s="18"/>
      <c r="V32" s="35"/>
      <c r="W32" s="19"/>
    </row>
    <row r="33" spans="1:23" ht="184" customHeight="1">
      <c r="A33" s="18"/>
      <c r="B33" s="19"/>
      <c r="C33" s="18"/>
      <c r="D33" s="19"/>
      <c r="E33" s="18"/>
      <c r="F33" s="19"/>
      <c r="G33" s="19"/>
      <c r="H33" s="19"/>
      <c r="I33" s="18"/>
      <c r="J33" s="18"/>
      <c r="K33" s="18"/>
      <c r="L33" s="18"/>
      <c r="M33" s="32" t="str">
        <f>IF(OR(K33="",L33=""),"",MATCH(K33,Lists!$C$2:$C$5,0)*MATCH(L33,Lists!$D$2:$D$6,0))</f>
        <v/>
      </c>
      <c r="N33" s="32" t="str">
        <f t="shared" si="0"/>
        <v/>
      </c>
      <c r="O33" s="32" t="str">
        <f t="shared" si="1"/>
        <v/>
      </c>
      <c r="P33" s="18"/>
      <c r="Q33" s="18"/>
      <c r="R33" s="18"/>
      <c r="S33" s="18"/>
      <c r="T33" s="18"/>
      <c r="U33" s="18"/>
      <c r="V33" s="35"/>
      <c r="W33" s="19"/>
    </row>
    <row r="34" spans="1:23" ht="136" customHeight="1">
      <c r="A34" s="18"/>
      <c r="B34" s="19"/>
      <c r="C34" s="18"/>
      <c r="D34" s="19"/>
      <c r="E34" s="18"/>
      <c r="F34" s="19"/>
      <c r="G34" s="19"/>
      <c r="H34" s="19"/>
      <c r="I34" s="18"/>
      <c r="J34" s="18"/>
      <c r="K34" s="18"/>
      <c r="L34" s="18"/>
      <c r="M34" s="32" t="str">
        <f>IF(OR(K34="",L34=""),"",MATCH(K34,Lists!$C$2:$C$5,0)*MATCH(L34,Lists!$D$2:$D$6,0))</f>
        <v/>
      </c>
      <c r="N34" s="32" t="str">
        <f t="shared" si="0"/>
        <v/>
      </c>
      <c r="O34" s="32" t="str">
        <f t="shared" si="1"/>
        <v/>
      </c>
      <c r="P34" s="18"/>
      <c r="Q34" s="18"/>
      <c r="R34" s="18"/>
      <c r="S34" s="18"/>
      <c r="T34" s="18"/>
      <c r="U34" s="18"/>
      <c r="V34" s="35"/>
      <c r="W34" s="19"/>
    </row>
    <row r="35" spans="1:23" ht="148" customHeight="1">
      <c r="A35" s="18"/>
      <c r="B35" s="19"/>
      <c r="C35" s="18"/>
      <c r="D35" s="19"/>
      <c r="E35" s="18"/>
      <c r="F35" s="19"/>
      <c r="G35" s="19"/>
      <c r="H35" s="19"/>
      <c r="I35" s="18"/>
      <c r="J35" s="18"/>
      <c r="K35" s="18"/>
      <c r="L35" s="18"/>
      <c r="M35" s="32" t="str">
        <f>IF(OR(K35="",L35=""),"",MATCH(K35,Lists!$C$2:$C$5,0)*MATCH(L35,Lists!$D$2:$D$6,0))</f>
        <v/>
      </c>
      <c r="N35" s="32" t="str">
        <f t="shared" si="0"/>
        <v/>
      </c>
      <c r="O35" s="32" t="str">
        <f t="shared" si="1"/>
        <v/>
      </c>
      <c r="P35" s="18"/>
      <c r="Q35" s="18"/>
      <c r="R35" s="18"/>
      <c r="S35" s="18"/>
      <c r="T35" s="18"/>
      <c r="U35" s="18"/>
      <c r="V35" s="35"/>
      <c r="W35" s="19"/>
    </row>
    <row r="36" spans="1:23" ht="136" customHeight="1">
      <c r="A36" s="18"/>
      <c r="B36" s="19"/>
      <c r="C36" s="18"/>
      <c r="D36" s="19"/>
      <c r="E36" s="18"/>
      <c r="F36" s="19"/>
      <c r="G36" s="19"/>
      <c r="H36" s="19"/>
      <c r="I36" s="18"/>
      <c r="J36" s="18"/>
      <c r="K36" s="18"/>
      <c r="L36" s="18"/>
      <c r="M36" s="32" t="str">
        <f>IF(OR(K36="",L36=""),"",MATCH(K36,Lists!$C$2:$C$5,0)*MATCH(L36,Lists!$D$2:$D$6,0))</f>
        <v/>
      </c>
      <c r="N36" s="32" t="str">
        <f t="shared" si="0"/>
        <v/>
      </c>
      <c r="O36" s="32" t="str">
        <f t="shared" si="1"/>
        <v/>
      </c>
      <c r="P36" s="18"/>
      <c r="Q36" s="18"/>
      <c r="R36" s="18"/>
      <c r="S36" s="18"/>
      <c r="T36" s="18"/>
      <c r="U36" s="18"/>
      <c r="V36" s="35"/>
      <c r="W36" s="19"/>
    </row>
    <row r="37" spans="1:23" ht="208" customHeight="1">
      <c r="A37" s="18"/>
      <c r="B37" s="19"/>
      <c r="C37" s="18"/>
      <c r="D37" s="19"/>
      <c r="E37" s="18"/>
      <c r="F37" s="19"/>
      <c r="G37" s="19"/>
      <c r="H37" s="19"/>
      <c r="I37" s="18"/>
      <c r="J37" s="18"/>
      <c r="K37" s="18"/>
      <c r="L37" s="18"/>
      <c r="M37" s="32" t="str">
        <f>IF(OR(K37="",L37=""),"",MATCH(K37,Lists!$C$2:$C$5,0)*MATCH(L37,Lists!$D$2:$D$6,0))</f>
        <v/>
      </c>
      <c r="N37" s="32" t="str">
        <f t="shared" si="0"/>
        <v/>
      </c>
      <c r="O37" s="32" t="str">
        <f t="shared" si="1"/>
        <v/>
      </c>
      <c r="P37" s="18"/>
      <c r="Q37" s="18"/>
      <c r="R37" s="18"/>
      <c r="S37" s="18"/>
      <c r="T37" s="18"/>
      <c r="U37" s="18"/>
      <c r="V37" s="35"/>
      <c r="W37" s="19"/>
    </row>
    <row r="38" spans="1:23" ht="208" customHeight="1">
      <c r="A38" s="18"/>
      <c r="B38" s="19"/>
      <c r="C38" s="18"/>
      <c r="D38" s="19"/>
      <c r="E38" s="18"/>
      <c r="F38" s="19"/>
      <c r="G38" s="19"/>
      <c r="H38" s="19"/>
      <c r="I38" s="18"/>
      <c r="J38" s="18"/>
      <c r="K38" s="18"/>
      <c r="L38" s="18"/>
      <c r="M38" s="32" t="str">
        <f>IF(OR(K38="",L38=""),"",MATCH(K38,Lists!$C$2:$C$5,0)*MATCH(L38,Lists!$D$2:$D$6,0))</f>
        <v/>
      </c>
      <c r="N38" s="32" t="str">
        <f t="shared" si="0"/>
        <v/>
      </c>
      <c r="O38" s="32" t="str">
        <f t="shared" si="1"/>
        <v/>
      </c>
      <c r="P38" s="18"/>
      <c r="Q38" s="18"/>
      <c r="R38" s="18"/>
      <c r="S38" s="18"/>
      <c r="T38" s="18"/>
      <c r="U38" s="18"/>
      <c r="V38" s="35"/>
      <c r="W38" s="19"/>
    </row>
    <row r="39" spans="1:23" ht="208" customHeight="1">
      <c r="A39" s="18"/>
      <c r="B39" s="19"/>
      <c r="C39" s="18"/>
      <c r="D39" s="19"/>
      <c r="E39" s="18"/>
      <c r="F39" s="19"/>
      <c r="G39" s="19"/>
      <c r="H39" s="19"/>
      <c r="I39" s="18"/>
      <c r="J39" s="18"/>
      <c r="K39" s="18"/>
      <c r="L39" s="18"/>
      <c r="M39" s="32" t="str">
        <f>IF(OR(K39="",L39=""),"",MATCH(K39,Lists!$C$2:$C$5,0)*MATCH(L39,Lists!$D$2:$D$6,0))</f>
        <v/>
      </c>
      <c r="N39" s="32" t="str">
        <f t="shared" si="0"/>
        <v/>
      </c>
      <c r="O39" s="32" t="str">
        <f t="shared" si="1"/>
        <v/>
      </c>
      <c r="P39" s="18"/>
      <c r="Q39" s="18"/>
      <c r="R39" s="18"/>
      <c r="S39" s="18"/>
      <c r="T39" s="18"/>
      <c r="U39" s="18"/>
      <c r="V39" s="35"/>
      <c r="W39" s="19"/>
    </row>
    <row r="40" spans="1:23" ht="220" customHeight="1">
      <c r="A40" s="18"/>
      <c r="B40" s="19"/>
      <c r="C40" s="18"/>
      <c r="D40" s="19"/>
      <c r="E40" s="18"/>
      <c r="F40" s="19"/>
      <c r="G40" s="19"/>
      <c r="H40" s="19"/>
      <c r="I40" s="18"/>
      <c r="J40" s="18"/>
      <c r="K40" s="18"/>
      <c r="L40" s="18"/>
      <c r="M40" s="32" t="str">
        <f>IF(OR(K40="",L40=""),"",MATCH(K40,Lists!$C$2:$C$5,0)*MATCH(L40,Lists!$D$2:$D$6,0))</f>
        <v/>
      </c>
      <c r="N40" s="32" t="str">
        <f t="shared" si="0"/>
        <v/>
      </c>
      <c r="O40" s="32" t="str">
        <f t="shared" si="1"/>
        <v/>
      </c>
      <c r="P40" s="18"/>
      <c r="Q40" s="18"/>
      <c r="R40" s="18"/>
      <c r="S40" s="18"/>
      <c r="T40" s="18"/>
      <c r="U40" s="18"/>
      <c r="V40" s="35"/>
      <c r="W40" s="19"/>
    </row>
    <row r="41" spans="1:23" ht="148" customHeight="1">
      <c r="A41" s="18"/>
      <c r="B41" s="19"/>
      <c r="C41" s="18"/>
      <c r="D41" s="19"/>
      <c r="E41" s="18"/>
      <c r="F41" s="19"/>
      <c r="G41" s="19"/>
      <c r="H41" s="19"/>
      <c r="I41" s="18"/>
      <c r="J41" s="18"/>
      <c r="K41" s="18"/>
      <c r="L41" s="18"/>
      <c r="M41" s="32" t="str">
        <f>IF(OR(K41="",L41=""),"",MATCH(K41,Lists!$C$2:$C$5,0)*MATCH(L41,Lists!$D$2:$D$6,0))</f>
        <v/>
      </c>
      <c r="N41" s="32" t="str">
        <f t="shared" si="0"/>
        <v/>
      </c>
      <c r="O41" s="32" t="str">
        <f t="shared" si="1"/>
        <v/>
      </c>
      <c r="P41" s="18"/>
      <c r="Q41" s="18"/>
      <c r="R41" s="18"/>
      <c r="S41" s="18"/>
      <c r="T41" s="18"/>
      <c r="U41" s="18"/>
      <c r="V41" s="35"/>
      <c r="W41" s="19"/>
    </row>
    <row r="42" spans="1:23" ht="148" customHeight="1">
      <c r="A42" s="18"/>
      <c r="B42" s="19"/>
      <c r="C42" s="18"/>
      <c r="D42" s="19"/>
      <c r="E42" s="18"/>
      <c r="F42" s="19"/>
      <c r="G42" s="19"/>
      <c r="H42" s="19"/>
      <c r="I42" s="18"/>
      <c r="J42" s="18"/>
      <c r="K42" s="18"/>
      <c r="L42" s="18"/>
      <c r="M42" s="32" t="str">
        <f>IF(OR(K42="",L42=""),"",MATCH(K42,Lists!$C$2:$C$5,0)*MATCH(L42,Lists!$D$2:$D$6,0))</f>
        <v/>
      </c>
      <c r="N42" s="32" t="str">
        <f t="shared" si="0"/>
        <v/>
      </c>
      <c r="O42" s="32" t="str">
        <f t="shared" si="1"/>
        <v/>
      </c>
      <c r="P42" s="18"/>
      <c r="Q42" s="18"/>
      <c r="R42" s="18"/>
      <c r="S42" s="18"/>
      <c r="T42" s="18"/>
      <c r="U42" s="18"/>
      <c r="V42" s="35"/>
      <c r="W42" s="19"/>
    </row>
    <row r="43" spans="1:23" ht="208" customHeight="1">
      <c r="A43" s="18"/>
      <c r="B43" s="19"/>
      <c r="C43" s="18"/>
      <c r="D43" s="19"/>
      <c r="E43" s="18"/>
      <c r="F43" s="19"/>
      <c r="G43" s="19"/>
      <c r="H43" s="19"/>
      <c r="I43" s="18"/>
      <c r="J43" s="18"/>
      <c r="K43" s="18"/>
      <c r="L43" s="18"/>
      <c r="M43" s="32" t="str">
        <f>IF(OR(K43="",L43=""),"",MATCH(K43,Lists!$C$2:$C$5,0)*MATCH(L43,Lists!$D$2:$D$6,0))</f>
        <v/>
      </c>
      <c r="N43" s="32" t="str">
        <f t="shared" si="0"/>
        <v/>
      </c>
      <c r="O43" s="32" t="str">
        <f t="shared" si="1"/>
        <v/>
      </c>
      <c r="P43" s="18"/>
      <c r="Q43" s="18"/>
      <c r="R43" s="18"/>
      <c r="S43" s="18"/>
      <c r="T43" s="18"/>
      <c r="U43" s="18"/>
      <c r="V43" s="35"/>
      <c r="W43" s="19"/>
    </row>
    <row r="44" spans="1:23" ht="208" customHeight="1">
      <c r="A44" s="18"/>
      <c r="B44" s="19"/>
      <c r="C44" s="18"/>
      <c r="D44" s="19"/>
      <c r="E44" s="18"/>
      <c r="F44" s="19"/>
      <c r="G44" s="19"/>
      <c r="H44" s="19"/>
      <c r="I44" s="18"/>
      <c r="J44" s="18"/>
      <c r="K44" s="18"/>
      <c r="L44" s="18"/>
      <c r="M44" s="32" t="str">
        <f>IF(OR(K44="",L44=""),"",MATCH(K44,Lists!$C$2:$C$5,0)*MATCH(L44,Lists!$D$2:$D$6,0))</f>
        <v/>
      </c>
      <c r="N44" s="32" t="str">
        <f t="shared" si="0"/>
        <v/>
      </c>
      <c r="O44" s="32" t="str">
        <f t="shared" si="1"/>
        <v/>
      </c>
      <c r="P44" s="18"/>
      <c r="Q44" s="18"/>
      <c r="R44" s="18"/>
      <c r="S44" s="18"/>
      <c r="T44" s="18"/>
      <c r="U44" s="18"/>
      <c r="V44" s="35"/>
      <c r="W44" s="19"/>
    </row>
    <row r="45" spans="1:23" ht="208" customHeight="1">
      <c r="A45" s="18"/>
      <c r="B45" s="19"/>
      <c r="C45" s="18"/>
      <c r="D45" s="19"/>
      <c r="E45" s="18"/>
      <c r="F45" s="19"/>
      <c r="G45" s="19"/>
      <c r="H45" s="19"/>
      <c r="I45" s="18"/>
      <c r="J45" s="18"/>
      <c r="K45" s="18"/>
      <c r="L45" s="18"/>
      <c r="M45" s="32" t="str">
        <f>IF(OR(K45="",L45=""),"",MATCH(K45,Lists!$C$2:$C$5,0)*MATCH(L45,Lists!$D$2:$D$6,0))</f>
        <v/>
      </c>
      <c r="N45" s="32" t="str">
        <f t="shared" si="0"/>
        <v/>
      </c>
      <c r="O45" s="32" t="str">
        <f t="shared" si="1"/>
        <v/>
      </c>
      <c r="P45" s="18"/>
      <c r="Q45" s="18"/>
      <c r="R45" s="18"/>
      <c r="S45" s="18"/>
      <c r="T45" s="18"/>
      <c r="U45" s="18"/>
      <c r="V45" s="35"/>
      <c r="W45" s="19"/>
    </row>
    <row r="46" spans="1:23" ht="160" customHeight="1">
      <c r="A46" s="18"/>
      <c r="B46" s="19"/>
      <c r="C46" s="18"/>
      <c r="D46" s="19"/>
      <c r="E46" s="18"/>
      <c r="F46" s="19"/>
      <c r="G46" s="19"/>
      <c r="H46" s="19"/>
      <c r="I46" s="18"/>
      <c r="J46" s="18"/>
      <c r="K46" s="18"/>
      <c r="L46" s="18"/>
      <c r="M46" s="32" t="str">
        <f>IF(OR(K46="",L46=""),"",MATCH(K46,Lists!$C$2:$C$5,0)*MATCH(L46,Lists!$D$2:$D$6,0))</f>
        <v/>
      </c>
      <c r="N46" s="32" t="str">
        <f t="shared" si="0"/>
        <v/>
      </c>
      <c r="O46" s="32" t="str">
        <f t="shared" si="1"/>
        <v/>
      </c>
      <c r="P46" s="18"/>
      <c r="Q46" s="18"/>
      <c r="R46" s="18"/>
      <c r="S46" s="18"/>
      <c r="T46" s="18"/>
      <c r="U46" s="18"/>
      <c r="V46" s="35"/>
      <c r="W46" s="19"/>
    </row>
    <row r="47" spans="1:23" ht="148" customHeight="1">
      <c r="A47" s="18"/>
      <c r="B47" s="19"/>
      <c r="C47" s="18"/>
      <c r="D47" s="19"/>
      <c r="E47" s="18"/>
      <c r="F47" s="19"/>
      <c r="G47" s="19"/>
      <c r="H47" s="19"/>
      <c r="I47" s="18"/>
      <c r="J47" s="18"/>
      <c r="K47" s="18"/>
      <c r="L47" s="18"/>
      <c r="M47" s="32" t="str">
        <f>IF(OR(K47="",L47=""),"",MATCH(K47,Lists!$C$2:$C$5,0)*MATCH(L47,Lists!$D$2:$D$6,0))</f>
        <v/>
      </c>
      <c r="N47" s="32" t="str">
        <f t="shared" si="0"/>
        <v/>
      </c>
      <c r="O47" s="32" t="str">
        <f t="shared" si="1"/>
        <v/>
      </c>
      <c r="P47" s="18"/>
      <c r="Q47" s="18"/>
      <c r="R47" s="18"/>
      <c r="S47" s="18"/>
      <c r="T47" s="18"/>
      <c r="U47" s="18"/>
      <c r="V47" s="35"/>
      <c r="W47" s="19"/>
    </row>
    <row r="48" spans="1:23" ht="148" customHeight="1">
      <c r="A48" s="18"/>
      <c r="B48" s="19"/>
      <c r="C48" s="18"/>
      <c r="D48" s="19"/>
      <c r="E48" s="18"/>
      <c r="F48" s="19"/>
      <c r="G48" s="19"/>
      <c r="H48" s="19"/>
      <c r="I48" s="18"/>
      <c r="J48" s="18"/>
      <c r="K48" s="18"/>
      <c r="L48" s="18"/>
      <c r="M48" s="32" t="str">
        <f>IF(OR(K48="",L48=""),"",MATCH(K48,Lists!$C$2:$C$5,0)*MATCH(L48,Lists!$D$2:$D$6,0))</f>
        <v/>
      </c>
      <c r="N48" s="32" t="str">
        <f t="shared" si="0"/>
        <v/>
      </c>
      <c r="O48" s="32" t="str">
        <f t="shared" si="1"/>
        <v/>
      </c>
      <c r="P48" s="18"/>
      <c r="Q48" s="18"/>
      <c r="R48" s="18"/>
      <c r="S48" s="18"/>
      <c r="T48" s="18"/>
      <c r="U48" s="18"/>
      <c r="V48" s="35"/>
      <c r="W48" s="19"/>
    </row>
    <row r="49" spans="1:23" ht="208" customHeight="1">
      <c r="A49" s="18"/>
      <c r="B49" s="19"/>
      <c r="C49" s="18"/>
      <c r="D49" s="19"/>
      <c r="E49" s="18"/>
      <c r="F49" s="19"/>
      <c r="G49" s="19"/>
      <c r="H49" s="19"/>
      <c r="I49" s="18"/>
      <c r="J49" s="18"/>
      <c r="K49" s="18"/>
      <c r="L49" s="18"/>
      <c r="M49" s="32" t="str">
        <f>IF(OR(K49="",L49=""),"",MATCH(K49,Lists!$C$2:$C$5,0)*MATCH(L49,Lists!$D$2:$D$6,0))</f>
        <v/>
      </c>
      <c r="N49" s="32" t="str">
        <f t="shared" si="0"/>
        <v/>
      </c>
      <c r="O49" s="32" t="str">
        <f t="shared" si="1"/>
        <v/>
      </c>
      <c r="P49" s="18"/>
      <c r="Q49" s="18"/>
      <c r="R49" s="18"/>
      <c r="S49" s="18"/>
      <c r="T49" s="18"/>
      <c r="U49" s="18"/>
      <c r="V49" s="35"/>
      <c r="W49" s="19"/>
    </row>
    <row r="50" spans="1:23" ht="100" customHeight="1">
      <c r="A50" s="18"/>
      <c r="B50" s="19"/>
      <c r="C50" s="18"/>
      <c r="D50" s="19"/>
      <c r="E50" s="18"/>
      <c r="F50" s="19"/>
      <c r="G50" s="19"/>
      <c r="H50" s="19"/>
      <c r="I50" s="18"/>
      <c r="J50" s="18"/>
      <c r="K50" s="18"/>
      <c r="L50" s="18"/>
      <c r="M50" s="32" t="str">
        <f>IF(OR(K50="",L50=""),"",MATCH(K50,Lists!$C$2:$C$5,0)*MATCH(L50,Lists!$D$2:$D$6,0))</f>
        <v/>
      </c>
      <c r="N50" s="32" t="str">
        <f t="shared" si="0"/>
        <v/>
      </c>
      <c r="O50" s="32" t="str">
        <f t="shared" si="1"/>
        <v/>
      </c>
      <c r="P50" s="18"/>
      <c r="Q50" s="18"/>
      <c r="R50" s="18"/>
      <c r="S50" s="18"/>
      <c r="T50" s="18"/>
      <c r="U50" s="18"/>
      <c r="V50" s="35"/>
      <c r="W50" s="19"/>
    </row>
    <row r="51" spans="1:23" ht="136" customHeight="1">
      <c r="A51" s="18"/>
      <c r="B51" s="19"/>
      <c r="C51" s="18"/>
      <c r="D51" s="19"/>
      <c r="E51" s="18"/>
      <c r="F51" s="19"/>
      <c r="G51" s="19"/>
      <c r="H51" s="19"/>
      <c r="I51" s="18"/>
      <c r="J51" s="18"/>
      <c r="K51" s="18"/>
      <c r="L51" s="18"/>
      <c r="M51" s="32" t="str">
        <f>IF(OR(K51="",L51=""),"",MATCH(K51,Lists!$C$2:$C$5,0)*MATCH(L51,Lists!$D$2:$D$6,0))</f>
        <v/>
      </c>
      <c r="N51" s="32" t="str">
        <f t="shared" si="0"/>
        <v/>
      </c>
      <c r="O51" s="32" t="str">
        <f t="shared" si="1"/>
        <v/>
      </c>
      <c r="P51" s="18"/>
      <c r="Q51" s="18"/>
      <c r="R51" s="18"/>
      <c r="S51" s="18"/>
      <c r="T51" s="18"/>
      <c r="U51" s="18"/>
      <c r="V51" s="35"/>
      <c r="W51" s="19"/>
    </row>
    <row r="52" spans="1:23" ht="148" customHeight="1">
      <c r="A52" s="18"/>
      <c r="B52" s="19"/>
      <c r="C52" s="18"/>
      <c r="D52" s="19"/>
      <c r="E52" s="18"/>
      <c r="F52" s="19"/>
      <c r="G52" s="19"/>
      <c r="H52" s="19"/>
      <c r="I52" s="18"/>
      <c r="J52" s="18"/>
      <c r="K52" s="18"/>
      <c r="L52" s="18"/>
      <c r="M52" s="32" t="str">
        <f>IF(OR(K52="",L52=""),"",MATCH(K52,Lists!$C$2:$C$5,0)*MATCH(L52,Lists!$D$2:$D$6,0))</f>
        <v/>
      </c>
      <c r="N52" s="32" t="str">
        <f t="shared" si="0"/>
        <v/>
      </c>
      <c r="O52" s="32" t="str">
        <f t="shared" si="1"/>
        <v/>
      </c>
      <c r="P52" s="18"/>
      <c r="Q52" s="18"/>
      <c r="R52" s="18"/>
      <c r="S52" s="18"/>
      <c r="T52" s="18"/>
      <c r="U52" s="18"/>
      <c r="V52" s="35"/>
      <c r="W52" s="19"/>
    </row>
    <row r="53" spans="1:23" ht="136" customHeight="1">
      <c r="A53" s="18"/>
      <c r="B53" s="19"/>
      <c r="C53" s="18"/>
      <c r="D53" s="19"/>
      <c r="E53" s="18"/>
      <c r="F53" s="19"/>
      <c r="G53" s="19"/>
      <c r="H53" s="19"/>
      <c r="I53" s="18"/>
      <c r="J53" s="18"/>
      <c r="K53" s="18"/>
      <c r="L53" s="18"/>
      <c r="M53" s="32" t="str">
        <f>IF(OR(K53="",L53=""),"",MATCH(K53,Lists!$C$2:$C$5,0)*MATCH(L53,Lists!$D$2:$D$6,0))</f>
        <v/>
      </c>
      <c r="N53" s="32" t="str">
        <f t="shared" si="0"/>
        <v/>
      </c>
      <c r="O53" s="32" t="str">
        <f t="shared" si="1"/>
        <v/>
      </c>
      <c r="P53" s="18"/>
      <c r="Q53" s="18"/>
      <c r="R53" s="18"/>
      <c r="S53" s="18"/>
      <c r="T53" s="18"/>
      <c r="U53" s="18"/>
      <c r="V53" s="35"/>
      <c r="W53" s="19"/>
    </row>
    <row r="54" spans="1:23" ht="124" customHeight="1">
      <c r="A54" s="18"/>
      <c r="B54" s="19"/>
      <c r="C54" s="18"/>
      <c r="D54" s="19"/>
      <c r="E54" s="18"/>
      <c r="F54" s="19"/>
      <c r="G54" s="19"/>
      <c r="H54" s="19"/>
      <c r="I54" s="18"/>
      <c r="J54" s="18"/>
      <c r="K54" s="18"/>
      <c r="L54" s="18"/>
      <c r="M54" s="32" t="str">
        <f>IF(OR(K54="",L54=""),"",MATCH(K54,Lists!$C$2:$C$5,0)*MATCH(L54,Lists!$D$2:$D$6,0))</f>
        <v/>
      </c>
      <c r="N54" s="32" t="str">
        <f t="shared" si="0"/>
        <v/>
      </c>
      <c r="O54" s="32" t="str">
        <f t="shared" si="1"/>
        <v/>
      </c>
      <c r="P54" s="18"/>
      <c r="Q54" s="18"/>
      <c r="R54" s="18"/>
      <c r="S54" s="18"/>
      <c r="T54" s="18"/>
      <c r="U54" s="18"/>
      <c r="V54" s="35"/>
      <c r="W54" s="19"/>
    </row>
    <row r="55" spans="1:23" ht="112" customHeight="1">
      <c r="A55" s="18"/>
      <c r="B55" s="19"/>
      <c r="C55" s="18"/>
      <c r="D55" s="19"/>
      <c r="E55" s="18"/>
      <c r="F55" s="19"/>
      <c r="G55" s="19"/>
      <c r="H55" s="19"/>
      <c r="I55" s="18"/>
      <c r="J55" s="18"/>
      <c r="K55" s="18"/>
      <c r="L55" s="18"/>
      <c r="M55" s="32" t="str">
        <f>IF(OR(K55="",L55=""),"",MATCH(K55,Lists!$C$2:$C$5,0)*MATCH(L55,Lists!$D$2:$D$6,0))</f>
        <v/>
      </c>
      <c r="N55" s="32" t="str">
        <f t="shared" si="0"/>
        <v/>
      </c>
      <c r="O55" s="32" t="str">
        <f t="shared" si="1"/>
        <v/>
      </c>
      <c r="P55" s="18"/>
      <c r="Q55" s="18"/>
      <c r="R55" s="18"/>
      <c r="S55" s="18"/>
      <c r="T55" s="18"/>
      <c r="U55" s="18"/>
      <c r="V55" s="35"/>
      <c r="W55" s="19"/>
    </row>
    <row r="56" spans="1:23" ht="124" customHeight="1">
      <c r="A56" s="18"/>
      <c r="B56" s="19"/>
      <c r="C56" s="18"/>
      <c r="D56" s="19"/>
      <c r="E56" s="18"/>
      <c r="F56" s="19"/>
      <c r="G56" s="19"/>
      <c r="H56" s="19"/>
      <c r="I56" s="18"/>
      <c r="J56" s="18"/>
      <c r="K56" s="18"/>
      <c r="L56" s="18"/>
      <c r="M56" s="32" t="str">
        <f>IF(OR(K56="",L56=""),"",MATCH(K56,Lists!$C$2:$C$5,0)*MATCH(L56,Lists!$D$2:$D$6,0))</f>
        <v/>
      </c>
      <c r="N56" s="32" t="str">
        <f t="shared" si="0"/>
        <v/>
      </c>
      <c r="O56" s="32" t="str">
        <f t="shared" si="1"/>
        <v/>
      </c>
      <c r="P56" s="18"/>
      <c r="Q56" s="18"/>
      <c r="R56" s="18"/>
      <c r="S56" s="18"/>
      <c r="T56" s="18"/>
      <c r="U56" s="18"/>
      <c r="V56" s="35"/>
      <c r="W56" s="19"/>
    </row>
    <row r="57" spans="1:23" ht="112" customHeight="1">
      <c r="A57" s="18"/>
      <c r="B57" s="19"/>
      <c r="C57" s="18"/>
      <c r="D57" s="19"/>
      <c r="E57" s="18"/>
      <c r="F57" s="19"/>
      <c r="G57" s="19"/>
      <c r="H57" s="19"/>
      <c r="I57" s="18"/>
      <c r="J57" s="18"/>
      <c r="K57" s="18"/>
      <c r="L57" s="18"/>
      <c r="M57" s="32" t="str">
        <f>IF(OR(K57="",L57=""),"",MATCH(K57,Lists!$C$2:$C$5,0)*MATCH(L57,Lists!$D$2:$D$6,0))</f>
        <v/>
      </c>
      <c r="N57" s="32" t="str">
        <f t="shared" si="0"/>
        <v/>
      </c>
      <c r="O57" s="32" t="str">
        <f t="shared" si="1"/>
        <v/>
      </c>
      <c r="P57" s="18"/>
      <c r="Q57" s="18"/>
      <c r="R57" s="18"/>
      <c r="S57" s="18"/>
      <c r="T57" s="18"/>
      <c r="U57" s="18"/>
      <c r="V57" s="35"/>
      <c r="W57" s="19"/>
    </row>
    <row r="58" spans="1:23" ht="112" customHeight="1">
      <c r="A58" s="18"/>
      <c r="B58" s="19"/>
      <c r="C58" s="18"/>
      <c r="D58" s="19"/>
      <c r="E58" s="18"/>
      <c r="F58" s="19"/>
      <c r="G58" s="19"/>
      <c r="H58" s="19"/>
      <c r="I58" s="18"/>
      <c r="J58" s="18"/>
      <c r="K58" s="18"/>
      <c r="L58" s="18"/>
      <c r="M58" s="32" t="str">
        <f>IF(OR(K58="",L58=""),"",MATCH(K58,Lists!$C$2:$C$5,0)*MATCH(L58,Lists!$D$2:$D$6,0))</f>
        <v/>
      </c>
      <c r="N58" s="32" t="str">
        <f t="shared" si="0"/>
        <v/>
      </c>
      <c r="O58" s="32" t="str">
        <f t="shared" si="1"/>
        <v/>
      </c>
      <c r="P58" s="18"/>
      <c r="Q58" s="18"/>
      <c r="R58" s="18"/>
      <c r="S58" s="18"/>
      <c r="T58" s="18"/>
      <c r="U58" s="18"/>
      <c r="V58" s="35"/>
      <c r="W58" s="19"/>
    </row>
    <row r="59" spans="1:23" ht="208" customHeight="1">
      <c r="A59" s="18"/>
      <c r="B59" s="19"/>
      <c r="C59" s="18"/>
      <c r="D59" s="19"/>
      <c r="E59" s="18"/>
      <c r="F59" s="19"/>
      <c r="G59" s="19"/>
      <c r="H59" s="19"/>
      <c r="I59" s="18"/>
      <c r="J59" s="18"/>
      <c r="K59" s="18"/>
      <c r="L59" s="18"/>
      <c r="M59" s="32" t="str">
        <f>IF(OR(K59="",L59=""),"",MATCH(K59,Lists!$C$2:$C$5,0)*MATCH(L59,Lists!$D$2:$D$6,0))</f>
        <v/>
      </c>
      <c r="N59" s="32" t="str">
        <f t="shared" si="0"/>
        <v/>
      </c>
      <c r="O59" s="32" t="str">
        <f t="shared" si="1"/>
        <v/>
      </c>
      <c r="P59" s="18"/>
      <c r="Q59" s="18"/>
      <c r="R59" s="18"/>
      <c r="S59" s="18"/>
      <c r="T59" s="18"/>
      <c r="U59" s="18"/>
      <c r="V59" s="35"/>
      <c r="W59" s="19"/>
    </row>
    <row r="60" spans="1:23" ht="208" customHeight="1">
      <c r="A60" s="18"/>
      <c r="B60" s="19"/>
      <c r="C60" s="18"/>
      <c r="D60" s="19"/>
      <c r="E60" s="18"/>
      <c r="F60" s="19"/>
      <c r="G60" s="19"/>
      <c r="H60" s="19"/>
      <c r="I60" s="18"/>
      <c r="J60" s="18"/>
      <c r="K60" s="18"/>
      <c r="L60" s="18"/>
      <c r="M60" s="32" t="str">
        <f>IF(OR(K60="",L60=""),"",MATCH(K60,Lists!$C$2:$C$5,0)*MATCH(L60,Lists!$D$2:$D$6,0))</f>
        <v/>
      </c>
      <c r="N60" s="32" t="str">
        <f t="shared" si="0"/>
        <v/>
      </c>
      <c r="O60" s="32" t="str">
        <f t="shared" si="1"/>
        <v/>
      </c>
      <c r="P60" s="18"/>
      <c r="Q60" s="18"/>
      <c r="R60" s="18"/>
      <c r="S60" s="18"/>
      <c r="T60" s="18"/>
      <c r="U60" s="18"/>
      <c r="V60" s="35"/>
      <c r="W60" s="19"/>
    </row>
    <row r="61" spans="1:23" ht="208" customHeight="1">
      <c r="A61" s="18"/>
      <c r="B61" s="19"/>
      <c r="C61" s="18"/>
      <c r="D61" s="19"/>
      <c r="E61" s="18"/>
      <c r="F61" s="19"/>
      <c r="G61" s="19"/>
      <c r="H61" s="19"/>
      <c r="I61" s="18"/>
      <c r="J61" s="18"/>
      <c r="K61" s="18"/>
      <c r="L61" s="18"/>
      <c r="M61" s="32" t="str">
        <f>IF(OR(K61="",L61=""),"",MATCH(K61,Lists!$C$2:$C$5,0)*MATCH(L61,Lists!$D$2:$D$6,0))</f>
        <v/>
      </c>
      <c r="N61" s="32" t="str">
        <f t="shared" si="0"/>
        <v/>
      </c>
      <c r="O61" s="32" t="str">
        <f t="shared" si="1"/>
        <v/>
      </c>
      <c r="P61" s="18"/>
      <c r="Q61" s="18"/>
      <c r="R61" s="18"/>
      <c r="S61" s="18"/>
      <c r="T61" s="18"/>
      <c r="U61" s="18"/>
      <c r="V61" s="35"/>
      <c r="W61" s="19"/>
    </row>
    <row r="62" spans="1:23" ht="172" customHeight="1">
      <c r="A62" s="18"/>
      <c r="B62" s="19"/>
      <c r="C62" s="18"/>
      <c r="D62" s="19"/>
      <c r="E62" s="18"/>
      <c r="F62" s="19"/>
      <c r="G62" s="19"/>
      <c r="H62" s="19"/>
      <c r="I62" s="18"/>
      <c r="J62" s="18"/>
      <c r="K62" s="18"/>
      <c r="L62" s="18"/>
      <c r="M62" s="32" t="str">
        <f>IF(OR(K62="",L62=""),"",MATCH(K62,Lists!$C$2:$C$5,0)*MATCH(L62,Lists!$D$2:$D$6,0))</f>
        <v/>
      </c>
      <c r="N62" s="32" t="str">
        <f t="shared" si="0"/>
        <v/>
      </c>
      <c r="O62" s="32" t="str">
        <f t="shared" si="1"/>
        <v/>
      </c>
      <c r="P62" s="18"/>
      <c r="Q62" s="18"/>
      <c r="R62" s="18"/>
      <c r="S62" s="18"/>
      <c r="T62" s="18"/>
      <c r="U62" s="18"/>
      <c r="V62" s="35"/>
      <c r="W62" s="19"/>
    </row>
    <row r="63" spans="1:23" ht="160" customHeight="1">
      <c r="A63" s="18"/>
      <c r="B63" s="19"/>
      <c r="C63" s="18"/>
      <c r="D63" s="19"/>
      <c r="E63" s="18"/>
      <c r="F63" s="19"/>
      <c r="G63" s="19"/>
      <c r="H63" s="19"/>
      <c r="I63" s="18"/>
      <c r="J63" s="18"/>
      <c r="K63" s="18"/>
      <c r="L63" s="18"/>
      <c r="M63" s="32" t="str">
        <f>IF(OR(K63="",L63=""),"",MATCH(K63,Lists!$C$2:$C$5,0)*MATCH(L63,Lists!$D$2:$D$6,0))</f>
        <v/>
      </c>
      <c r="N63" s="32" t="str">
        <f t="shared" si="0"/>
        <v/>
      </c>
      <c r="O63" s="32" t="str">
        <f t="shared" si="1"/>
        <v/>
      </c>
      <c r="P63" s="18"/>
      <c r="Q63" s="18"/>
      <c r="R63" s="18"/>
      <c r="S63" s="18"/>
      <c r="T63" s="18"/>
      <c r="U63" s="18"/>
      <c r="V63" s="35"/>
      <c r="W63" s="19"/>
    </row>
    <row r="64" spans="1:23" ht="172" customHeight="1">
      <c r="A64" s="18"/>
      <c r="B64" s="19"/>
      <c r="C64" s="18"/>
      <c r="D64" s="19"/>
      <c r="E64" s="18"/>
      <c r="F64" s="19"/>
      <c r="G64" s="19"/>
      <c r="H64" s="19"/>
      <c r="I64" s="18"/>
      <c r="J64" s="18"/>
      <c r="K64" s="18"/>
      <c r="L64" s="18"/>
      <c r="M64" s="32" t="str">
        <f>IF(OR(K64="",L64=""),"",MATCH(K64,Lists!$C$2:$C$5,0)*MATCH(L64,Lists!$D$2:$D$6,0))</f>
        <v/>
      </c>
      <c r="N64" s="32" t="str">
        <f t="shared" si="0"/>
        <v/>
      </c>
      <c r="O64" s="32" t="str">
        <f t="shared" si="1"/>
        <v/>
      </c>
      <c r="P64" s="18"/>
      <c r="Q64" s="18"/>
      <c r="R64" s="18"/>
      <c r="S64" s="18"/>
      <c r="T64" s="18"/>
      <c r="U64" s="18"/>
      <c r="V64" s="35"/>
      <c r="W64" s="19"/>
    </row>
    <row r="65" spans="1:23" ht="136" customHeight="1">
      <c r="A65" s="18"/>
      <c r="B65" s="19"/>
      <c r="C65" s="18"/>
      <c r="D65" s="19"/>
      <c r="E65" s="18"/>
      <c r="F65" s="19"/>
      <c r="G65" s="19"/>
      <c r="H65" s="19"/>
      <c r="I65" s="18"/>
      <c r="J65" s="18"/>
      <c r="K65" s="18"/>
      <c r="L65" s="18"/>
      <c r="M65" s="32" t="str">
        <f>IF(OR(K65="",L65=""),"",MATCH(K65,Lists!$C$2:$C$5,0)*MATCH(L65,Lists!$D$2:$D$6,0))</f>
        <v/>
      </c>
      <c r="N65" s="32" t="str">
        <f t="shared" si="0"/>
        <v/>
      </c>
      <c r="O65" s="32" t="str">
        <f t="shared" si="1"/>
        <v/>
      </c>
      <c r="P65" s="18"/>
      <c r="Q65" s="18"/>
      <c r="R65" s="18"/>
      <c r="S65" s="18"/>
      <c r="T65" s="18"/>
      <c r="U65" s="18"/>
      <c r="V65" s="35"/>
      <c r="W65" s="19"/>
    </row>
    <row r="66" spans="1:23" ht="148" customHeight="1">
      <c r="A66" s="18"/>
      <c r="B66" s="19"/>
      <c r="C66" s="18"/>
      <c r="D66" s="19"/>
      <c r="E66" s="18"/>
      <c r="F66" s="19"/>
      <c r="G66" s="19"/>
      <c r="H66" s="19"/>
      <c r="I66" s="18"/>
      <c r="J66" s="18"/>
      <c r="K66" s="18"/>
      <c r="L66" s="18"/>
      <c r="M66" s="32" t="str">
        <f>IF(OR(K66="",L66=""),"",MATCH(K66,Lists!$C$2:$C$5,0)*MATCH(L66,Lists!$D$2:$D$6,0))</f>
        <v/>
      </c>
      <c r="N66" s="32" t="str">
        <f t="shared" ref="N66:N129" si="2">IF(M66="","",IF(M66&gt;=12,"Critical",IF(M66&gt;=8,"High",IF(M66&gt;=4,"Medium","Low"))))</f>
        <v/>
      </c>
      <c r="O66" s="32" t="str">
        <f t="shared" ref="O66:O129" si="3">IF(N66="","",IF(N66="Critical","P1",IF(N66="High","P2",IF(N66="Medium","P3","P4"))))</f>
        <v/>
      </c>
      <c r="P66" s="18"/>
      <c r="Q66" s="18"/>
      <c r="R66" s="18"/>
      <c r="S66" s="18"/>
      <c r="T66" s="18"/>
      <c r="U66" s="18"/>
      <c r="V66" s="35"/>
      <c r="W66" s="19"/>
    </row>
    <row r="67" spans="1:23" ht="124" customHeight="1">
      <c r="A67" s="18"/>
      <c r="B67" s="19"/>
      <c r="C67" s="18"/>
      <c r="D67" s="19"/>
      <c r="E67" s="18"/>
      <c r="F67" s="19"/>
      <c r="G67" s="19"/>
      <c r="H67" s="19"/>
      <c r="I67" s="18"/>
      <c r="J67" s="18"/>
      <c r="K67" s="18"/>
      <c r="L67" s="18"/>
      <c r="M67" s="32" t="str">
        <f>IF(OR(K67="",L67=""),"",MATCH(K67,Lists!$C$2:$C$5,0)*MATCH(L67,Lists!$D$2:$D$6,0))</f>
        <v/>
      </c>
      <c r="N67" s="32" t="str">
        <f t="shared" si="2"/>
        <v/>
      </c>
      <c r="O67" s="32" t="str">
        <f t="shared" si="3"/>
        <v/>
      </c>
      <c r="P67" s="18"/>
      <c r="Q67" s="18"/>
      <c r="R67" s="18"/>
      <c r="S67" s="18"/>
      <c r="T67" s="18"/>
      <c r="U67" s="18"/>
      <c r="V67" s="35"/>
      <c r="W67" s="19"/>
    </row>
    <row r="68" spans="1:23" ht="160" customHeight="1">
      <c r="A68" s="18"/>
      <c r="B68" s="19"/>
      <c r="C68" s="18"/>
      <c r="D68" s="19"/>
      <c r="E68" s="18"/>
      <c r="F68" s="19"/>
      <c r="G68" s="19"/>
      <c r="H68" s="19"/>
      <c r="I68" s="18"/>
      <c r="J68" s="18"/>
      <c r="K68" s="18"/>
      <c r="L68" s="18"/>
      <c r="M68" s="32" t="str">
        <f>IF(OR(K68="",L68=""),"",MATCH(K68,Lists!$C$2:$C$5,0)*MATCH(L68,Lists!$D$2:$D$6,0))</f>
        <v/>
      </c>
      <c r="N68" s="32" t="str">
        <f t="shared" si="2"/>
        <v/>
      </c>
      <c r="O68" s="32" t="str">
        <f t="shared" si="3"/>
        <v/>
      </c>
      <c r="P68" s="18"/>
      <c r="Q68" s="18"/>
      <c r="R68" s="18"/>
      <c r="S68" s="18"/>
      <c r="T68" s="18"/>
      <c r="U68" s="18"/>
      <c r="V68" s="35"/>
      <c r="W68" s="19"/>
    </row>
    <row r="69" spans="1:23" ht="136" customHeight="1">
      <c r="A69" s="18"/>
      <c r="B69" s="19"/>
      <c r="C69" s="18"/>
      <c r="D69" s="19"/>
      <c r="E69" s="18"/>
      <c r="F69" s="19"/>
      <c r="G69" s="19"/>
      <c r="H69" s="19"/>
      <c r="I69" s="18"/>
      <c r="J69" s="18"/>
      <c r="K69" s="18"/>
      <c r="L69" s="18"/>
      <c r="M69" s="32" t="str">
        <f>IF(OR(K69="",L69=""),"",MATCH(K69,Lists!$C$2:$C$5,0)*MATCH(L69,Lists!$D$2:$D$6,0))</f>
        <v/>
      </c>
      <c r="N69" s="32" t="str">
        <f t="shared" si="2"/>
        <v/>
      </c>
      <c r="O69" s="32" t="str">
        <f t="shared" si="3"/>
        <v/>
      </c>
      <c r="P69" s="18"/>
      <c r="Q69" s="18"/>
      <c r="R69" s="18"/>
      <c r="S69" s="18"/>
      <c r="T69" s="18"/>
      <c r="U69" s="18"/>
      <c r="V69" s="35"/>
      <c r="W69" s="19"/>
    </row>
    <row r="70" spans="1:23" ht="148" customHeight="1">
      <c r="A70" s="18"/>
      <c r="B70" s="19"/>
      <c r="C70" s="18"/>
      <c r="D70" s="19"/>
      <c r="E70" s="18"/>
      <c r="F70" s="19"/>
      <c r="G70" s="19"/>
      <c r="H70" s="19"/>
      <c r="I70" s="18"/>
      <c r="J70" s="18"/>
      <c r="K70" s="18"/>
      <c r="L70" s="18"/>
      <c r="M70" s="32" t="str">
        <f>IF(OR(K70="",L70=""),"",MATCH(K70,Lists!$C$2:$C$5,0)*MATCH(L70,Lists!$D$2:$D$6,0))</f>
        <v/>
      </c>
      <c r="N70" s="32" t="str">
        <f t="shared" si="2"/>
        <v/>
      </c>
      <c r="O70" s="32" t="str">
        <f t="shared" si="3"/>
        <v/>
      </c>
      <c r="P70" s="18"/>
      <c r="Q70" s="18"/>
      <c r="R70" s="18"/>
      <c r="S70" s="18"/>
      <c r="T70" s="18"/>
      <c r="U70" s="18"/>
      <c r="V70" s="35"/>
      <c r="W70" s="19"/>
    </row>
    <row r="71" spans="1:23" ht="124" customHeight="1">
      <c r="A71" s="18"/>
      <c r="B71" s="19"/>
      <c r="C71" s="18"/>
      <c r="D71" s="19"/>
      <c r="E71" s="18"/>
      <c r="F71" s="19"/>
      <c r="G71" s="19"/>
      <c r="H71" s="19"/>
      <c r="I71" s="18"/>
      <c r="J71" s="18"/>
      <c r="K71" s="18"/>
      <c r="L71" s="18"/>
      <c r="M71" s="32" t="str">
        <f>IF(OR(K71="",L71=""),"",MATCH(K71,Lists!$C$2:$C$5,0)*MATCH(L71,Lists!$D$2:$D$6,0))</f>
        <v/>
      </c>
      <c r="N71" s="32" t="str">
        <f t="shared" si="2"/>
        <v/>
      </c>
      <c r="O71" s="32" t="str">
        <f t="shared" si="3"/>
        <v/>
      </c>
      <c r="P71" s="18"/>
      <c r="Q71" s="18"/>
      <c r="R71" s="18"/>
      <c r="S71" s="18"/>
      <c r="T71" s="18"/>
      <c r="U71" s="18"/>
      <c r="V71" s="35"/>
      <c r="W71" s="19"/>
    </row>
    <row r="72" spans="1:23" ht="160" customHeight="1">
      <c r="A72" s="18"/>
      <c r="B72" s="19"/>
      <c r="C72" s="18"/>
      <c r="D72" s="19"/>
      <c r="E72" s="18"/>
      <c r="F72" s="19"/>
      <c r="G72" s="19"/>
      <c r="H72" s="19"/>
      <c r="I72" s="18"/>
      <c r="J72" s="18"/>
      <c r="K72" s="18"/>
      <c r="L72" s="18"/>
      <c r="M72" s="32" t="str">
        <f>IF(OR(K72="",L72=""),"",MATCH(K72,Lists!$C$2:$C$5,0)*MATCH(L72,Lists!$D$2:$D$6,0))</f>
        <v/>
      </c>
      <c r="N72" s="32" t="str">
        <f t="shared" si="2"/>
        <v/>
      </c>
      <c r="O72" s="32" t="str">
        <f t="shared" si="3"/>
        <v/>
      </c>
      <c r="P72" s="18"/>
      <c r="Q72" s="18"/>
      <c r="R72" s="18"/>
      <c r="S72" s="18"/>
      <c r="T72" s="18"/>
      <c r="U72" s="18"/>
      <c r="V72" s="35"/>
      <c r="W72" s="19"/>
    </row>
    <row r="73" spans="1:23" ht="148" customHeight="1">
      <c r="A73" s="18"/>
      <c r="B73" s="19"/>
      <c r="C73" s="18"/>
      <c r="D73" s="19"/>
      <c r="E73" s="18"/>
      <c r="F73" s="19"/>
      <c r="G73" s="19"/>
      <c r="H73" s="19"/>
      <c r="I73" s="18"/>
      <c r="J73" s="18"/>
      <c r="K73" s="18"/>
      <c r="L73" s="18"/>
      <c r="M73" s="32" t="str">
        <f>IF(OR(K73="",L73=""),"",MATCH(K73,Lists!$C$2:$C$5,0)*MATCH(L73,Lists!$D$2:$D$6,0))</f>
        <v/>
      </c>
      <c r="N73" s="32" t="str">
        <f t="shared" si="2"/>
        <v/>
      </c>
      <c r="O73" s="32" t="str">
        <f t="shared" si="3"/>
        <v/>
      </c>
      <c r="P73" s="18"/>
      <c r="Q73" s="18"/>
      <c r="R73" s="18"/>
      <c r="S73" s="18"/>
      <c r="T73" s="18"/>
      <c r="U73" s="18"/>
      <c r="V73" s="35"/>
      <c r="W73" s="19"/>
    </row>
    <row r="74" spans="1:23" ht="148" customHeight="1">
      <c r="A74" s="18"/>
      <c r="B74" s="19"/>
      <c r="C74" s="18"/>
      <c r="D74" s="19"/>
      <c r="E74" s="18"/>
      <c r="F74" s="19"/>
      <c r="G74" s="19"/>
      <c r="H74" s="19"/>
      <c r="I74" s="18"/>
      <c r="J74" s="18"/>
      <c r="K74" s="18"/>
      <c r="L74" s="18"/>
      <c r="M74" s="32" t="str">
        <f>IF(OR(K74="",L74=""),"",MATCH(K74,Lists!$C$2:$C$5,0)*MATCH(L74,Lists!$D$2:$D$6,0))</f>
        <v/>
      </c>
      <c r="N74" s="32" t="str">
        <f t="shared" si="2"/>
        <v/>
      </c>
      <c r="O74" s="32" t="str">
        <f t="shared" si="3"/>
        <v/>
      </c>
      <c r="P74" s="18"/>
      <c r="Q74" s="18"/>
      <c r="R74" s="18"/>
      <c r="S74" s="18"/>
      <c r="T74" s="18"/>
      <c r="U74" s="18"/>
      <c r="V74" s="35"/>
      <c r="W74" s="19"/>
    </row>
    <row r="75" spans="1:23" ht="136" customHeight="1">
      <c r="A75" s="18"/>
      <c r="B75" s="19"/>
      <c r="C75" s="18"/>
      <c r="D75" s="19"/>
      <c r="E75" s="18"/>
      <c r="F75" s="19"/>
      <c r="G75" s="19"/>
      <c r="H75" s="19"/>
      <c r="I75" s="18"/>
      <c r="J75" s="18"/>
      <c r="K75" s="18"/>
      <c r="L75" s="18"/>
      <c r="M75" s="32" t="str">
        <f>IF(OR(K75="",L75=""),"",MATCH(K75,Lists!$C$2:$C$5,0)*MATCH(L75,Lists!$D$2:$D$6,0))</f>
        <v/>
      </c>
      <c r="N75" s="32" t="str">
        <f t="shared" si="2"/>
        <v/>
      </c>
      <c r="O75" s="32" t="str">
        <f t="shared" si="3"/>
        <v/>
      </c>
      <c r="P75" s="18"/>
      <c r="Q75" s="18"/>
      <c r="R75" s="18"/>
      <c r="S75" s="18"/>
      <c r="T75" s="18"/>
      <c r="U75" s="18"/>
      <c r="V75" s="35"/>
      <c r="W75" s="19"/>
    </row>
    <row r="76" spans="1:23" ht="148" customHeight="1">
      <c r="A76" s="18"/>
      <c r="B76" s="19"/>
      <c r="C76" s="18"/>
      <c r="D76" s="19"/>
      <c r="E76" s="18"/>
      <c r="F76" s="19"/>
      <c r="G76" s="19"/>
      <c r="H76" s="19"/>
      <c r="I76" s="18"/>
      <c r="J76" s="18"/>
      <c r="K76" s="18"/>
      <c r="L76" s="18"/>
      <c r="M76" s="32" t="str">
        <f>IF(OR(K76="",L76=""),"",MATCH(K76,Lists!$C$2:$C$5,0)*MATCH(L76,Lists!$D$2:$D$6,0))</f>
        <v/>
      </c>
      <c r="N76" s="32" t="str">
        <f t="shared" si="2"/>
        <v/>
      </c>
      <c r="O76" s="32" t="str">
        <f t="shared" si="3"/>
        <v/>
      </c>
      <c r="P76" s="18"/>
      <c r="Q76" s="18"/>
      <c r="R76" s="18"/>
      <c r="S76" s="18"/>
      <c r="T76" s="18"/>
      <c r="U76" s="18"/>
      <c r="V76" s="35"/>
      <c r="W76" s="19"/>
    </row>
    <row r="77" spans="1:23" ht="148" customHeight="1">
      <c r="A77" s="18"/>
      <c r="B77" s="19"/>
      <c r="C77" s="18"/>
      <c r="D77" s="19"/>
      <c r="E77" s="18"/>
      <c r="F77" s="19"/>
      <c r="G77" s="19"/>
      <c r="H77" s="19"/>
      <c r="I77" s="18"/>
      <c r="J77" s="18"/>
      <c r="K77" s="18"/>
      <c r="L77" s="18"/>
      <c r="M77" s="32" t="str">
        <f>IF(OR(K77="",L77=""),"",MATCH(K77,Lists!$C$2:$C$5,0)*MATCH(L77,Lists!$D$2:$D$6,0))</f>
        <v/>
      </c>
      <c r="N77" s="32" t="str">
        <f t="shared" si="2"/>
        <v/>
      </c>
      <c r="O77" s="32" t="str">
        <f t="shared" si="3"/>
        <v/>
      </c>
      <c r="P77" s="18"/>
      <c r="Q77" s="18"/>
      <c r="R77" s="18"/>
      <c r="S77" s="18"/>
      <c r="T77" s="18"/>
      <c r="U77" s="18"/>
      <c r="V77" s="35"/>
      <c r="W77" s="19"/>
    </row>
    <row r="78" spans="1:23" ht="148" customHeight="1">
      <c r="A78" s="18"/>
      <c r="B78" s="19"/>
      <c r="C78" s="18"/>
      <c r="D78" s="19"/>
      <c r="E78" s="18"/>
      <c r="F78" s="19"/>
      <c r="G78" s="19"/>
      <c r="H78" s="19"/>
      <c r="I78" s="18"/>
      <c r="J78" s="18"/>
      <c r="K78" s="18"/>
      <c r="L78" s="18"/>
      <c r="M78" s="32" t="str">
        <f>IF(OR(K78="",L78=""),"",MATCH(K78,Lists!$C$2:$C$5,0)*MATCH(L78,Lists!$D$2:$D$6,0))</f>
        <v/>
      </c>
      <c r="N78" s="32" t="str">
        <f t="shared" si="2"/>
        <v/>
      </c>
      <c r="O78" s="32" t="str">
        <f t="shared" si="3"/>
        <v/>
      </c>
      <c r="P78" s="18"/>
      <c r="Q78" s="18"/>
      <c r="R78" s="18"/>
      <c r="S78" s="18"/>
      <c r="T78" s="18"/>
      <c r="U78" s="18"/>
      <c r="V78" s="35"/>
      <c r="W78" s="19"/>
    </row>
    <row r="79" spans="1:23" ht="124" customHeight="1">
      <c r="A79" s="18"/>
      <c r="B79" s="19"/>
      <c r="C79" s="18"/>
      <c r="D79" s="19"/>
      <c r="E79" s="18"/>
      <c r="F79" s="19"/>
      <c r="G79" s="19"/>
      <c r="H79" s="19"/>
      <c r="I79" s="18"/>
      <c r="J79" s="18"/>
      <c r="K79" s="18"/>
      <c r="L79" s="18"/>
      <c r="M79" s="32" t="str">
        <f>IF(OR(K79="",L79=""),"",MATCH(K79,Lists!$C$2:$C$5,0)*MATCH(L79,Lists!$D$2:$D$6,0))</f>
        <v/>
      </c>
      <c r="N79" s="32" t="str">
        <f t="shared" si="2"/>
        <v/>
      </c>
      <c r="O79" s="32" t="str">
        <f t="shared" si="3"/>
        <v/>
      </c>
      <c r="P79" s="18"/>
      <c r="Q79" s="18"/>
      <c r="R79" s="18"/>
      <c r="S79" s="18"/>
      <c r="T79" s="18"/>
      <c r="U79" s="18"/>
      <c r="V79" s="35"/>
      <c r="W79" s="19"/>
    </row>
    <row r="80" spans="1:23" ht="100" customHeight="1">
      <c r="A80" s="18"/>
      <c r="B80" s="19"/>
      <c r="C80" s="18"/>
      <c r="D80" s="19"/>
      <c r="E80" s="18"/>
      <c r="F80" s="19"/>
      <c r="G80" s="19"/>
      <c r="H80" s="19"/>
      <c r="I80" s="18"/>
      <c r="J80" s="18"/>
      <c r="K80" s="18"/>
      <c r="L80" s="18"/>
      <c r="M80" s="32" t="str">
        <f>IF(OR(K80="",L80=""),"",MATCH(K80,Lists!$C$2:$C$5,0)*MATCH(L80,Lists!$D$2:$D$6,0))</f>
        <v/>
      </c>
      <c r="N80" s="32" t="str">
        <f t="shared" si="2"/>
        <v/>
      </c>
      <c r="O80" s="32" t="str">
        <f t="shared" si="3"/>
        <v/>
      </c>
      <c r="P80" s="18"/>
      <c r="Q80" s="18"/>
      <c r="R80" s="18"/>
      <c r="S80" s="18"/>
      <c r="T80" s="18"/>
      <c r="U80" s="18"/>
      <c r="V80" s="35"/>
      <c r="W80" s="19"/>
    </row>
    <row r="81" spans="1:23" ht="100" customHeight="1">
      <c r="A81" s="18"/>
      <c r="B81" s="19"/>
      <c r="C81" s="18"/>
      <c r="D81" s="19"/>
      <c r="E81" s="18"/>
      <c r="F81" s="19"/>
      <c r="G81" s="19"/>
      <c r="H81" s="19"/>
      <c r="I81" s="18"/>
      <c r="J81" s="18"/>
      <c r="K81" s="18"/>
      <c r="L81" s="18"/>
      <c r="M81" s="32" t="str">
        <f>IF(OR(K81="",L81=""),"",MATCH(K81,Lists!$C$2:$C$5,0)*MATCH(L81,Lists!$D$2:$D$6,0))</f>
        <v/>
      </c>
      <c r="N81" s="32" t="str">
        <f t="shared" si="2"/>
        <v/>
      </c>
      <c r="O81" s="32" t="str">
        <f t="shared" si="3"/>
        <v/>
      </c>
      <c r="P81" s="18"/>
      <c r="Q81" s="18"/>
      <c r="R81" s="18"/>
      <c r="S81" s="18"/>
      <c r="T81" s="18"/>
      <c r="U81" s="18"/>
      <c r="V81" s="35"/>
      <c r="W81" s="19"/>
    </row>
    <row r="82" spans="1:23" ht="136" customHeight="1">
      <c r="A82" s="18"/>
      <c r="B82" s="19"/>
      <c r="C82" s="18"/>
      <c r="D82" s="19"/>
      <c r="E82" s="18"/>
      <c r="F82" s="19"/>
      <c r="G82" s="19"/>
      <c r="H82" s="19"/>
      <c r="I82" s="18"/>
      <c r="J82" s="18"/>
      <c r="K82" s="18"/>
      <c r="L82" s="18"/>
      <c r="M82" s="32" t="str">
        <f>IF(OR(K82="",L82=""),"",MATCH(K82,Lists!$C$2:$C$5,0)*MATCH(L82,Lists!$D$2:$D$6,0))</f>
        <v/>
      </c>
      <c r="N82" s="32" t="str">
        <f t="shared" si="2"/>
        <v/>
      </c>
      <c r="O82" s="32" t="str">
        <f t="shared" si="3"/>
        <v/>
      </c>
      <c r="P82" s="18"/>
      <c r="Q82" s="18"/>
      <c r="R82" s="18"/>
      <c r="S82" s="18"/>
      <c r="T82" s="18"/>
      <c r="U82" s="18"/>
      <c r="V82" s="35"/>
      <c r="W82" s="19"/>
    </row>
    <row r="83" spans="1:23" ht="124" customHeight="1">
      <c r="A83" s="18"/>
      <c r="B83" s="19"/>
      <c r="C83" s="18"/>
      <c r="D83" s="19"/>
      <c r="E83" s="18"/>
      <c r="F83" s="19"/>
      <c r="G83" s="19"/>
      <c r="H83" s="19"/>
      <c r="I83" s="18"/>
      <c r="J83" s="18"/>
      <c r="K83" s="18"/>
      <c r="L83" s="18"/>
      <c r="M83" s="32" t="str">
        <f>IF(OR(K83="",L83=""),"",MATCH(K83,Lists!$C$2:$C$5,0)*MATCH(L83,Lists!$D$2:$D$6,0))</f>
        <v/>
      </c>
      <c r="N83" s="32" t="str">
        <f t="shared" si="2"/>
        <v/>
      </c>
      <c r="O83" s="32" t="str">
        <f t="shared" si="3"/>
        <v/>
      </c>
      <c r="P83" s="18"/>
      <c r="Q83" s="18"/>
      <c r="R83" s="18"/>
      <c r="S83" s="18"/>
      <c r="T83" s="18"/>
      <c r="U83" s="18"/>
      <c r="V83" s="35"/>
      <c r="W83" s="19"/>
    </row>
    <row r="84" spans="1:23" ht="136" customHeight="1">
      <c r="A84" s="18"/>
      <c r="B84" s="19"/>
      <c r="C84" s="18"/>
      <c r="D84" s="19"/>
      <c r="E84" s="18"/>
      <c r="F84" s="19"/>
      <c r="G84" s="19"/>
      <c r="H84" s="19"/>
      <c r="I84" s="18"/>
      <c r="J84" s="18"/>
      <c r="K84" s="18"/>
      <c r="L84" s="18"/>
      <c r="M84" s="32" t="str">
        <f>IF(OR(K84="",L84=""),"",MATCH(K84,Lists!$C$2:$C$5,0)*MATCH(L84,Lists!$D$2:$D$6,0))</f>
        <v/>
      </c>
      <c r="N84" s="32" t="str">
        <f t="shared" si="2"/>
        <v/>
      </c>
      <c r="O84" s="32" t="str">
        <f t="shared" si="3"/>
        <v/>
      </c>
      <c r="P84" s="18"/>
      <c r="Q84" s="18"/>
      <c r="R84" s="18"/>
      <c r="S84" s="18"/>
      <c r="T84" s="18"/>
      <c r="U84" s="18"/>
      <c r="V84" s="35"/>
      <c r="W84" s="19"/>
    </row>
    <row r="85" spans="1:23" ht="112" customHeight="1">
      <c r="A85" s="18"/>
      <c r="B85" s="19"/>
      <c r="C85" s="18"/>
      <c r="D85" s="19"/>
      <c r="E85" s="18"/>
      <c r="F85" s="19"/>
      <c r="G85" s="19"/>
      <c r="H85" s="19"/>
      <c r="I85" s="18"/>
      <c r="J85" s="18"/>
      <c r="K85" s="18"/>
      <c r="L85" s="18"/>
      <c r="M85" s="32" t="str">
        <f>IF(OR(K85="",L85=""),"",MATCH(K85,Lists!$C$2:$C$5,0)*MATCH(L85,Lists!$D$2:$D$6,0))</f>
        <v/>
      </c>
      <c r="N85" s="32" t="str">
        <f t="shared" si="2"/>
        <v/>
      </c>
      <c r="O85" s="32" t="str">
        <f t="shared" si="3"/>
        <v/>
      </c>
      <c r="P85" s="18"/>
      <c r="Q85" s="18"/>
      <c r="R85" s="18"/>
      <c r="S85" s="18"/>
      <c r="T85" s="18"/>
      <c r="U85" s="18"/>
      <c r="V85" s="35"/>
      <c r="W85" s="19"/>
    </row>
    <row r="86" spans="1:23" ht="124" customHeight="1">
      <c r="A86" s="18"/>
      <c r="B86" s="19"/>
      <c r="C86" s="18"/>
      <c r="D86" s="19"/>
      <c r="E86" s="18"/>
      <c r="F86" s="19"/>
      <c r="G86" s="19"/>
      <c r="H86" s="19"/>
      <c r="I86" s="18"/>
      <c r="J86" s="18"/>
      <c r="K86" s="18"/>
      <c r="L86" s="18"/>
      <c r="M86" s="32" t="str">
        <f>IF(OR(K86="",L86=""),"",MATCH(K86,Lists!$C$2:$C$5,0)*MATCH(L86,Lists!$D$2:$D$6,0))</f>
        <v/>
      </c>
      <c r="N86" s="32" t="str">
        <f t="shared" si="2"/>
        <v/>
      </c>
      <c r="O86" s="32" t="str">
        <f t="shared" si="3"/>
        <v/>
      </c>
      <c r="P86" s="18"/>
      <c r="Q86" s="18"/>
      <c r="R86" s="18"/>
      <c r="S86" s="18"/>
      <c r="T86" s="18"/>
      <c r="U86" s="18"/>
      <c r="V86" s="35"/>
      <c r="W86" s="19"/>
    </row>
    <row r="87" spans="1:23" ht="124" customHeight="1">
      <c r="A87" s="18"/>
      <c r="B87" s="19"/>
      <c r="C87" s="18"/>
      <c r="D87" s="19"/>
      <c r="E87" s="18"/>
      <c r="F87" s="19"/>
      <c r="G87" s="19"/>
      <c r="H87" s="19"/>
      <c r="I87" s="18"/>
      <c r="J87" s="18"/>
      <c r="K87" s="18"/>
      <c r="L87" s="18"/>
      <c r="M87" s="32" t="str">
        <f>IF(OR(K87="",L87=""),"",MATCH(K87,Lists!$C$2:$C$5,0)*MATCH(L87,Lists!$D$2:$D$6,0))</f>
        <v/>
      </c>
      <c r="N87" s="32" t="str">
        <f t="shared" si="2"/>
        <v/>
      </c>
      <c r="O87" s="32" t="str">
        <f t="shared" si="3"/>
        <v/>
      </c>
      <c r="P87" s="18"/>
      <c r="Q87" s="18"/>
      <c r="R87" s="18"/>
      <c r="S87" s="18"/>
      <c r="T87" s="18"/>
      <c r="U87" s="18"/>
      <c r="V87" s="35"/>
      <c r="W87" s="19"/>
    </row>
    <row r="88" spans="1:23" ht="148" customHeight="1">
      <c r="A88" s="18"/>
      <c r="B88" s="19"/>
      <c r="C88" s="18"/>
      <c r="D88" s="19"/>
      <c r="E88" s="18"/>
      <c r="F88" s="19"/>
      <c r="G88" s="19"/>
      <c r="H88" s="19"/>
      <c r="I88" s="18"/>
      <c r="J88" s="18"/>
      <c r="K88" s="18"/>
      <c r="L88" s="18"/>
      <c r="M88" s="32" t="str">
        <f>IF(OR(K88="",L88=""),"",MATCH(K88,Lists!$C$2:$C$5,0)*MATCH(L88,Lists!$D$2:$D$6,0))</f>
        <v/>
      </c>
      <c r="N88" s="32" t="str">
        <f t="shared" si="2"/>
        <v/>
      </c>
      <c r="O88" s="32" t="str">
        <f t="shared" si="3"/>
        <v/>
      </c>
      <c r="P88" s="18"/>
      <c r="Q88" s="18"/>
      <c r="R88" s="18"/>
      <c r="S88" s="18"/>
      <c r="T88" s="18"/>
      <c r="U88" s="18"/>
      <c r="V88" s="35"/>
      <c r="W88" s="19"/>
    </row>
    <row r="89" spans="1:23" ht="136" customHeight="1">
      <c r="A89" s="18"/>
      <c r="B89" s="19"/>
      <c r="C89" s="18"/>
      <c r="D89" s="19"/>
      <c r="E89" s="18"/>
      <c r="F89" s="19"/>
      <c r="G89" s="19"/>
      <c r="H89" s="19"/>
      <c r="I89" s="18"/>
      <c r="J89" s="18"/>
      <c r="K89" s="18"/>
      <c r="L89" s="18"/>
      <c r="M89" s="32" t="str">
        <f>IF(OR(K89="",L89=""),"",MATCH(K89,Lists!$C$2:$C$5,0)*MATCH(L89,Lists!$D$2:$D$6,0))</f>
        <v/>
      </c>
      <c r="N89" s="32" t="str">
        <f t="shared" si="2"/>
        <v/>
      </c>
      <c r="O89" s="32" t="str">
        <f t="shared" si="3"/>
        <v/>
      </c>
      <c r="P89" s="18"/>
      <c r="Q89" s="18"/>
      <c r="R89" s="18"/>
      <c r="S89" s="18"/>
      <c r="T89" s="18"/>
      <c r="U89" s="18"/>
      <c r="V89" s="35"/>
      <c r="W89" s="19"/>
    </row>
    <row r="90" spans="1:23" ht="124" customHeight="1">
      <c r="A90" s="18"/>
      <c r="B90" s="19"/>
      <c r="C90" s="18"/>
      <c r="D90" s="19"/>
      <c r="E90" s="18"/>
      <c r="F90" s="19"/>
      <c r="G90" s="19"/>
      <c r="H90" s="19"/>
      <c r="I90" s="18"/>
      <c r="J90" s="18"/>
      <c r="K90" s="18"/>
      <c r="L90" s="18"/>
      <c r="M90" s="32" t="str">
        <f>IF(OR(K90="",L90=""),"",MATCH(K90,Lists!$C$2:$C$5,0)*MATCH(L90,Lists!$D$2:$D$6,0))</f>
        <v/>
      </c>
      <c r="N90" s="32" t="str">
        <f t="shared" si="2"/>
        <v/>
      </c>
      <c r="O90" s="32" t="str">
        <f t="shared" si="3"/>
        <v/>
      </c>
      <c r="P90" s="18"/>
      <c r="Q90" s="18"/>
      <c r="R90" s="18"/>
      <c r="S90" s="18"/>
      <c r="T90" s="18"/>
      <c r="U90" s="18"/>
      <c r="V90" s="35"/>
      <c r="W90" s="19"/>
    </row>
    <row r="91" spans="1:23" ht="136" customHeight="1">
      <c r="A91" s="18"/>
      <c r="B91" s="19"/>
      <c r="C91" s="18"/>
      <c r="D91" s="19"/>
      <c r="E91" s="18"/>
      <c r="F91" s="19"/>
      <c r="G91" s="19"/>
      <c r="H91" s="19"/>
      <c r="I91" s="18"/>
      <c r="J91" s="18"/>
      <c r="K91" s="18"/>
      <c r="L91" s="18"/>
      <c r="M91" s="32" t="str">
        <f>IF(OR(K91="",L91=""),"",MATCH(K91,Lists!$C$2:$C$5,0)*MATCH(L91,Lists!$D$2:$D$6,0))</f>
        <v/>
      </c>
      <c r="N91" s="32" t="str">
        <f t="shared" si="2"/>
        <v/>
      </c>
      <c r="O91" s="32" t="str">
        <f t="shared" si="3"/>
        <v/>
      </c>
      <c r="P91" s="18"/>
      <c r="Q91" s="18"/>
      <c r="R91" s="18"/>
      <c r="S91" s="18"/>
      <c r="T91" s="18"/>
      <c r="U91" s="18"/>
      <c r="V91" s="35"/>
      <c r="W91" s="19"/>
    </row>
    <row r="92" spans="1:23" ht="160" customHeight="1">
      <c r="A92" s="18"/>
      <c r="B92" s="19"/>
      <c r="C92" s="18"/>
      <c r="D92" s="19"/>
      <c r="E92" s="18"/>
      <c r="F92" s="19"/>
      <c r="G92" s="19"/>
      <c r="H92" s="19"/>
      <c r="I92" s="18"/>
      <c r="J92" s="18"/>
      <c r="K92" s="18"/>
      <c r="L92" s="18"/>
      <c r="M92" s="32" t="str">
        <f>IF(OR(K92="",L92=""),"",MATCH(K92,Lists!$C$2:$C$5,0)*MATCH(L92,Lists!$D$2:$D$6,0))</f>
        <v/>
      </c>
      <c r="N92" s="32" t="str">
        <f t="shared" si="2"/>
        <v/>
      </c>
      <c r="O92" s="32" t="str">
        <f t="shared" si="3"/>
        <v/>
      </c>
      <c r="P92" s="18"/>
      <c r="Q92" s="18"/>
      <c r="R92" s="18"/>
      <c r="S92" s="18"/>
      <c r="T92" s="18"/>
      <c r="U92" s="18"/>
      <c r="V92" s="35"/>
      <c r="W92" s="19"/>
    </row>
    <row r="93" spans="1:23" ht="160" customHeight="1">
      <c r="A93" s="18"/>
      <c r="B93" s="19"/>
      <c r="C93" s="18"/>
      <c r="D93" s="19"/>
      <c r="E93" s="18"/>
      <c r="F93" s="19"/>
      <c r="G93" s="19"/>
      <c r="H93" s="19"/>
      <c r="I93" s="18"/>
      <c r="J93" s="18"/>
      <c r="K93" s="18"/>
      <c r="L93" s="18"/>
      <c r="M93" s="32" t="str">
        <f>IF(OR(K93="",L93=""),"",MATCH(K93,Lists!$C$2:$C$5,0)*MATCH(L93,Lists!$D$2:$D$6,0))</f>
        <v/>
      </c>
      <c r="N93" s="32" t="str">
        <f t="shared" si="2"/>
        <v/>
      </c>
      <c r="O93" s="32" t="str">
        <f t="shared" si="3"/>
        <v/>
      </c>
      <c r="P93" s="18"/>
      <c r="Q93" s="18"/>
      <c r="R93" s="18"/>
      <c r="S93" s="18"/>
      <c r="T93" s="18"/>
      <c r="U93" s="18"/>
      <c r="V93" s="35"/>
      <c r="W93" s="19"/>
    </row>
    <row r="94" spans="1:23" ht="136" customHeight="1">
      <c r="A94" s="18"/>
      <c r="B94" s="19"/>
      <c r="C94" s="18"/>
      <c r="D94" s="19"/>
      <c r="E94" s="18"/>
      <c r="F94" s="19"/>
      <c r="G94" s="19"/>
      <c r="H94" s="19"/>
      <c r="I94" s="18"/>
      <c r="J94" s="18"/>
      <c r="K94" s="18"/>
      <c r="L94" s="18"/>
      <c r="M94" s="32" t="str">
        <f>IF(OR(K94="",L94=""),"",MATCH(K94,Lists!$C$2:$C$5,0)*MATCH(L94,Lists!$D$2:$D$6,0))</f>
        <v/>
      </c>
      <c r="N94" s="32" t="str">
        <f t="shared" si="2"/>
        <v/>
      </c>
      <c r="O94" s="32" t="str">
        <f t="shared" si="3"/>
        <v/>
      </c>
      <c r="P94" s="18"/>
      <c r="Q94" s="18"/>
      <c r="R94" s="18"/>
      <c r="S94" s="18"/>
      <c r="T94" s="18"/>
      <c r="U94" s="18"/>
      <c r="V94" s="35"/>
      <c r="W94" s="19"/>
    </row>
    <row r="95" spans="1:23" ht="136" customHeight="1">
      <c r="A95" s="18"/>
      <c r="B95" s="19"/>
      <c r="C95" s="18"/>
      <c r="D95" s="19"/>
      <c r="E95" s="18"/>
      <c r="F95" s="19"/>
      <c r="G95" s="19"/>
      <c r="H95" s="19"/>
      <c r="I95" s="18"/>
      <c r="J95" s="18"/>
      <c r="K95" s="18"/>
      <c r="L95" s="18"/>
      <c r="M95" s="32" t="str">
        <f>IF(OR(K95="",L95=""),"",MATCH(K95,Lists!$C$2:$C$5,0)*MATCH(L95,Lists!$D$2:$D$6,0))</f>
        <v/>
      </c>
      <c r="N95" s="32" t="str">
        <f t="shared" si="2"/>
        <v/>
      </c>
      <c r="O95" s="32" t="str">
        <f t="shared" si="3"/>
        <v/>
      </c>
      <c r="P95" s="18"/>
      <c r="Q95" s="18"/>
      <c r="R95" s="18"/>
      <c r="S95" s="18"/>
      <c r="T95" s="18"/>
      <c r="U95" s="18"/>
      <c r="V95" s="35"/>
      <c r="W95" s="19"/>
    </row>
    <row r="96" spans="1:23" ht="172.0" customHeight="true">
      <c r="A96" s="18"/>
      <c r="B96" s="19"/>
      <c r="C96" s="18"/>
      <c r="D96" s="19"/>
      <c r="E96" s="18"/>
      <c r="F96" s="19"/>
      <c r="G96" s="19"/>
      <c r="H96" s="19"/>
      <c r="I96" s="18"/>
      <c r="J96" s="18"/>
      <c r="K96" s="18"/>
      <c r="L96" s="18"/>
      <c r="M96" s="32" t="str">
        <f>IF(OR(K96="",L96=""),"",MATCH(K96,Lists!$C$2:$C$5,0)*MATCH(L96,Lists!$D$2:$D$6,0))</f>
        <v/>
      </c>
      <c r="N96" s="32" t="str">
        <f t="shared" si="2"/>
        <v/>
      </c>
      <c r="O96" s="32" t="str">
        <f t="shared" si="3"/>
        <v/>
      </c>
      <c r="P96" s="18"/>
      <c r="Q96" s="18"/>
      <c r="R96" s="18"/>
      <c r="S96" s="18"/>
      <c r="T96" s="18"/>
      <c r="U96" s="18"/>
      <c r="V96" s="35"/>
      <c r="W96" s="19"/>
    </row>
    <row r="97" spans="1:23" ht="148.0" customHeight="true">
      <c r="A97" s="18"/>
      <c r="B97" s="19"/>
      <c r="C97" s="18"/>
      <c r="D97" s="19"/>
      <c r="E97" s="18"/>
      <c r="F97" s="19"/>
      <c r="G97" s="19"/>
      <c r="H97" s="19"/>
      <c r="I97" s="18"/>
      <c r="J97" s="18"/>
      <c r="K97" s="18"/>
      <c r="L97" s="18"/>
      <c r="M97" s="32" t="str">
        <f>IF(OR(K97="",L97=""),"",MATCH(K97,Lists!$C$2:$C$5,0)*MATCH(L97,Lists!$D$2:$D$6,0))</f>
        <v/>
      </c>
      <c r="N97" s="32" t="str">
        <f t="shared" si="2"/>
        <v/>
      </c>
      <c r="O97" s="32" t="str">
        <f t="shared" si="3"/>
        <v/>
      </c>
      <c r="P97" s="18"/>
      <c r="Q97" s="18"/>
      <c r="R97" s="18"/>
      <c r="S97" s="18"/>
      <c r="T97" s="18"/>
      <c r="U97" s="18"/>
      <c r="V97" s="35"/>
      <c r="W97" s="19"/>
    </row>
    <row r="98" spans="1:23" ht="124.0" customHeight="true">
      <c r="A98" s="18"/>
      <c r="B98" s="19"/>
      <c r="C98" s="18"/>
      <c r="D98" s="19"/>
      <c r="E98" s="18"/>
      <c r="F98" s="19"/>
      <c r="G98" s="19"/>
      <c r="H98" s="19"/>
      <c r="I98" s="18"/>
      <c r="J98" s="18"/>
      <c r="K98" s="18"/>
      <c r="L98" s="18"/>
      <c r="M98" s="32" t="str">
        <f>IF(OR(K98="",L98=""),"",MATCH(K98,Lists!$C$2:$C$5,0)*MATCH(L98,Lists!$D$2:$D$6,0))</f>
        <v/>
      </c>
      <c r="N98" s="32" t="str">
        <f t="shared" si="2"/>
        <v/>
      </c>
      <c r="O98" s="32" t="str">
        <f t="shared" si="3"/>
        <v/>
      </c>
      <c r="P98" s="18"/>
      <c r="Q98" s="18"/>
      <c r="R98" s="18"/>
      <c r="S98" s="18"/>
      <c r="T98" s="18"/>
      <c r="U98" s="18"/>
      <c r="V98" s="35"/>
      <c r="W98" s="19"/>
    </row>
    <row r="99" spans="1:23" ht="160.0" customHeight="true">
      <c r="A99" s="18"/>
      <c r="B99" s="19"/>
      <c r="C99" s="18"/>
      <c r="D99" s="19"/>
      <c r="E99" s="18"/>
      <c r="F99" s="19"/>
      <c r="G99" s="19"/>
      <c r="H99" s="19"/>
      <c r="I99" s="18"/>
      <c r="J99" s="18"/>
      <c r="K99" s="18"/>
      <c r="L99" s="18"/>
      <c r="M99" s="32" t="str">
        <f>IF(OR(K99="",L99=""),"",MATCH(K99,Lists!$C$2:$C$5,0)*MATCH(L99,Lists!$D$2:$D$6,0))</f>
        <v/>
      </c>
      <c r="N99" s="32" t="str">
        <f t="shared" si="2"/>
        <v/>
      </c>
      <c r="O99" s="32" t="str">
        <f t="shared" si="3"/>
        <v/>
      </c>
      <c r="P99" s="18"/>
      <c r="Q99" s="18"/>
      <c r="R99" s="18"/>
      <c r="S99" s="18"/>
      <c r="T99" s="18"/>
      <c r="U99" s="18"/>
      <c r="V99" s="35"/>
      <c r="W99" s="19"/>
    </row>
    <row r="100" spans="1:23" ht="148.0" customHeight="true">
      <c r="A100" s="18"/>
      <c r="B100" s="19"/>
      <c r="C100" s="18"/>
      <c r="D100" s="19"/>
      <c r="E100" s="18"/>
      <c r="F100" s="19"/>
      <c r="G100" s="19"/>
      <c r="H100" s="19"/>
      <c r="I100" s="18"/>
      <c r="J100" s="18"/>
      <c r="K100" s="18"/>
      <c r="L100" s="18"/>
      <c r="M100" s="32" t="str">
        <f>IF(OR(K100="",L100=""),"",MATCH(K100,Lists!$C$2:$C$5,0)*MATCH(L100,Lists!$D$2:$D$6,0))</f>
        <v/>
      </c>
      <c r="N100" s="32" t="str">
        <f t="shared" si="2"/>
        <v/>
      </c>
      <c r="O100" s="32" t="str">
        <f t="shared" si="3"/>
        <v/>
      </c>
      <c r="P100" s="18"/>
      <c r="Q100" s="18"/>
      <c r="R100" s="18"/>
      <c r="S100" s="18"/>
      <c r="T100" s="18"/>
      <c r="U100" s="18"/>
      <c r="V100" s="35"/>
      <c r="W100" s="19"/>
    </row>
    <row r="101" spans="1:23" ht="160.0" customHeight="true">
      <c r="A101" s="18"/>
      <c r="B101" s="19"/>
      <c r="C101" s="18"/>
      <c r="D101" s="19"/>
      <c r="E101" s="18"/>
      <c r="F101" s="19"/>
      <c r="G101" s="19"/>
      <c r="H101" s="19"/>
      <c r="I101" s="18"/>
      <c r="J101" s="18"/>
      <c r="K101" s="18"/>
      <c r="L101" s="18"/>
      <c r="M101" s="32" t="str">
        <f>IF(OR(K101="",L101=""),"",MATCH(K101,Lists!$C$2:$C$5,0)*MATCH(L101,Lists!$D$2:$D$6,0))</f>
        <v/>
      </c>
      <c r="N101" s="32" t="str">
        <f t="shared" si="2"/>
        <v/>
      </c>
      <c r="O101" s="32" t="str">
        <f t="shared" si="3"/>
        <v/>
      </c>
      <c r="P101" s="18"/>
      <c r="Q101" s="18"/>
      <c r="R101" s="18"/>
      <c r="S101" s="18"/>
      <c r="T101" s="18"/>
      <c r="U101" s="18"/>
      <c r="V101" s="35"/>
      <c r="W101" s="19"/>
    </row>
    <row r="102" spans="1:23" ht="148.0" customHeight="true">
      <c r="A102" s="18"/>
      <c r="B102" s="19"/>
      <c r="C102" s="18"/>
      <c r="D102" s="19"/>
      <c r="E102" s="18"/>
      <c r="F102" s="19"/>
      <c r="G102" s="19"/>
      <c r="H102" s="19"/>
      <c r="I102" s="18"/>
      <c r="J102" s="18"/>
      <c r="K102" s="18"/>
      <c r="L102" s="18"/>
      <c r="M102" s="32" t="str">
        <f>IF(OR(K102="",L102=""),"",MATCH(K102,Lists!$C$2:$C$5,0)*MATCH(L102,Lists!$D$2:$D$6,0))</f>
        <v/>
      </c>
      <c r="N102" s="32" t="str">
        <f t="shared" si="2"/>
        <v/>
      </c>
      <c r="O102" s="32" t="str">
        <f t="shared" si="3"/>
        <v/>
      </c>
      <c r="P102" s="18"/>
      <c r="Q102" s="18"/>
      <c r="R102" s="18"/>
      <c r="S102" s="18"/>
      <c r="T102" s="18"/>
      <c r="U102" s="18"/>
      <c r="V102" s="35"/>
      <c r="W102" s="19"/>
    </row>
    <row r="103" spans="1:23" ht="160.0" customHeight="true">
      <c r="A103" s="18"/>
      <c r="B103" s="19"/>
      <c r="C103" s="18"/>
      <c r="D103" s="19"/>
      <c r="E103" s="18"/>
      <c r="F103" s="19"/>
      <c r="G103" s="19"/>
      <c r="H103" s="19"/>
      <c r="I103" s="18"/>
      <c r="J103" s="18"/>
      <c r="K103" s="18"/>
      <c r="L103" s="18"/>
      <c r="M103" s="32" t="str">
        <f>IF(OR(K103="",L103=""),"",MATCH(K103,Lists!$C$2:$C$5,0)*MATCH(L103,Lists!$D$2:$D$6,0))</f>
        <v/>
      </c>
      <c r="N103" s="32" t="str">
        <f t="shared" si="2"/>
        <v/>
      </c>
      <c r="O103" s="32" t="str">
        <f t="shared" si="3"/>
        <v/>
      </c>
      <c r="P103" s="18"/>
      <c r="Q103" s="18"/>
      <c r="R103" s="18"/>
      <c r="S103" s="18"/>
      <c r="T103" s="18"/>
      <c r="U103" s="18"/>
      <c r="V103" s="35"/>
      <c r="W103" s="19"/>
    </row>
    <row r="104" spans="1:23" ht="136.0" customHeight="true">
      <c r="A104" s="18"/>
      <c r="B104" s="19"/>
      <c r="C104" s="18"/>
      <c r="D104" s="19"/>
      <c r="E104" s="18"/>
      <c r="F104" s="19"/>
      <c r="G104" s="19"/>
      <c r="H104" s="19"/>
      <c r="I104" s="18"/>
      <c r="J104" s="18"/>
      <c r="K104" s="18"/>
      <c r="L104" s="18"/>
      <c r="M104" s="32" t="str">
        <f>IF(OR(K104="",L104=""),"",MATCH(K104,Lists!$C$2:$C$5,0)*MATCH(L104,Lists!$D$2:$D$6,0))</f>
        <v/>
      </c>
      <c r="N104" s="32" t="str">
        <f t="shared" si="2"/>
        <v/>
      </c>
      <c r="O104" s="32" t="str">
        <f t="shared" si="3"/>
        <v/>
      </c>
      <c r="P104" s="18"/>
      <c r="Q104" s="18"/>
      <c r="R104" s="18"/>
      <c r="S104" s="18"/>
      <c r="T104" s="18"/>
      <c r="U104" s="18"/>
      <c r="V104" s="35"/>
      <c r="W104" s="19"/>
    </row>
    <row r="105" spans="1:23" ht="136.0" customHeight="true">
      <c r="A105" s="18"/>
      <c r="B105" s="19"/>
      <c r="C105" s="18"/>
      <c r="D105" s="19"/>
      <c r="E105" s="18"/>
      <c r="F105" s="19"/>
      <c r="G105" s="19"/>
      <c r="H105" s="19"/>
      <c r="I105" s="18"/>
      <c r="J105" s="18"/>
      <c r="K105" s="18"/>
      <c r="L105" s="18"/>
      <c r="M105" s="32" t="str">
        <f>IF(OR(K105="",L105=""),"",MATCH(K105,Lists!$C$2:$C$5,0)*MATCH(L105,Lists!$D$2:$D$6,0))</f>
        <v/>
      </c>
      <c r="N105" s="32" t="str">
        <f t="shared" si="2"/>
        <v/>
      </c>
      <c r="O105" s="32" t="str">
        <f t="shared" si="3"/>
        <v/>
      </c>
      <c r="P105" s="18"/>
      <c r="Q105" s="18"/>
      <c r="R105" s="18"/>
      <c r="S105" s="18"/>
      <c r="T105" s="18"/>
      <c r="U105" s="18"/>
      <c r="V105" s="35"/>
      <c r="W105" s="19"/>
    </row>
    <row r="106" spans="1:23" ht="124.0" customHeight="true">
      <c r="A106" s="18"/>
      <c r="B106" s="19"/>
      <c r="C106" s="18"/>
      <c r="D106" s="19"/>
      <c r="E106" s="18"/>
      <c r="F106" s="19"/>
      <c r="G106" s="19"/>
      <c r="H106" s="19"/>
      <c r="I106" s="18"/>
      <c r="J106" s="18"/>
      <c r="K106" s="18"/>
      <c r="L106" s="18"/>
      <c r="M106" s="32" t="str">
        <f>IF(OR(K106="",L106=""),"",MATCH(K106,Lists!$C$2:$C$5,0)*MATCH(L106,Lists!$D$2:$D$6,0))</f>
        <v/>
      </c>
      <c r="N106" s="32" t="str">
        <f t="shared" si="2"/>
        <v/>
      </c>
      <c r="O106" s="32" t="str">
        <f t="shared" si="3"/>
        <v/>
      </c>
      <c r="P106" s="18"/>
      <c r="Q106" s="18"/>
      <c r="R106" s="18"/>
      <c r="S106" s="18"/>
      <c r="T106" s="18"/>
      <c r="U106" s="18"/>
      <c r="V106" s="35"/>
      <c r="W106" s="19"/>
    </row>
    <row r="107" spans="1:23" ht="148.0" customHeight="true">
      <c r="A107" s="18"/>
      <c r="B107" s="19"/>
      <c r="C107" s="18"/>
      <c r="D107" s="19"/>
      <c r="E107" s="18"/>
      <c r="F107" s="19"/>
      <c r="G107" s="19"/>
      <c r="H107" s="19"/>
      <c r="I107" s="18"/>
      <c r="J107" s="18"/>
      <c r="K107" s="18"/>
      <c r="L107" s="18"/>
      <c r="M107" s="32" t="str">
        <f>IF(OR(K107="",L107=""),"",MATCH(K107,Lists!$C$2:$C$5,0)*MATCH(L107,Lists!$D$2:$D$6,0))</f>
        <v/>
      </c>
      <c r="N107" s="32" t="str">
        <f t="shared" si="2"/>
        <v/>
      </c>
      <c r="O107" s="32" t="str">
        <f t="shared" si="3"/>
        <v/>
      </c>
      <c r="P107" s="18"/>
      <c r="Q107" s="18"/>
      <c r="R107" s="18"/>
      <c r="S107" s="18"/>
      <c r="T107" s="18"/>
      <c r="U107" s="18"/>
      <c r="V107" s="35"/>
      <c r="W107" s="19"/>
    </row>
    <row r="108" spans="1:23" ht="124.0" customHeight="true">
      <c r="A108" s="18"/>
      <c r="B108" s="19"/>
      <c r="C108" s="18"/>
      <c r="D108" s="19"/>
      <c r="E108" s="18"/>
      <c r="F108" s="19"/>
      <c r="G108" s="19"/>
      <c r="H108" s="19"/>
      <c r="I108" s="18"/>
      <c r="J108" s="18"/>
      <c r="K108" s="18"/>
      <c r="L108" s="18"/>
      <c r="M108" s="32" t="str">
        <f>IF(OR(K108="",L108=""),"",MATCH(K108,Lists!$C$2:$C$5,0)*MATCH(L108,Lists!$D$2:$D$6,0))</f>
        <v/>
      </c>
      <c r="N108" s="32" t="str">
        <f t="shared" si="2"/>
        <v/>
      </c>
      <c r="O108" s="32" t="str">
        <f t="shared" si="3"/>
        <v/>
      </c>
      <c r="P108" s="18"/>
      <c r="Q108" s="18"/>
      <c r="R108" s="18"/>
      <c r="S108" s="18"/>
      <c r="T108" s="18"/>
      <c r="U108" s="18"/>
      <c r="V108" s="35"/>
      <c r="W108" s="19"/>
    </row>
    <row r="109" spans="1:23" ht="112.0" customHeight="true">
      <c r="A109" s="18"/>
      <c r="B109" s="19"/>
      <c r="C109" s="18"/>
      <c r="D109" s="19"/>
      <c r="E109" s="18"/>
      <c r="F109" s="19"/>
      <c r="G109" s="19"/>
      <c r="H109" s="19"/>
      <c r="I109" s="18"/>
      <c r="J109" s="18"/>
      <c r="K109" s="18"/>
      <c r="L109" s="18"/>
      <c r="M109" s="32" t="str">
        <f>IF(OR(K109="",L109=""),"",MATCH(K109,Lists!$C$2:$C$5,0)*MATCH(L109,Lists!$D$2:$D$6,0))</f>
        <v/>
      </c>
      <c r="N109" s="32" t="str">
        <f t="shared" si="2"/>
        <v/>
      </c>
      <c r="O109" s="32" t="str">
        <f t="shared" si="3"/>
        <v/>
      </c>
      <c r="P109" s="18"/>
      <c r="Q109" s="18"/>
      <c r="R109" s="18"/>
      <c r="S109" s="18"/>
      <c r="T109" s="18"/>
      <c r="U109" s="18"/>
      <c r="V109" s="35"/>
      <c r="W109" s="19"/>
    </row>
    <row r="110" spans="1:23" ht="136.0" customHeight="true">
      <c r="A110" s="18"/>
      <c r="B110" s="19"/>
      <c r="C110" s="18"/>
      <c r="D110" s="19"/>
      <c r="E110" s="18"/>
      <c r="F110" s="19"/>
      <c r="G110" s="19"/>
      <c r="H110" s="19"/>
      <c r="I110" s="18"/>
      <c r="J110" s="18"/>
      <c r="K110" s="18"/>
      <c r="L110" s="18"/>
      <c r="M110" s="32" t="str">
        <f>IF(OR(K110="",L110=""),"",MATCH(K110,Lists!$C$2:$C$5,0)*MATCH(L110,Lists!$D$2:$D$6,0))</f>
        <v/>
      </c>
      <c r="N110" s="32" t="str">
        <f t="shared" si="2"/>
        <v/>
      </c>
      <c r="O110" s="32" t="str">
        <f t="shared" si="3"/>
        <v/>
      </c>
      <c r="P110" s="18"/>
      <c r="Q110" s="18"/>
      <c r="R110" s="18"/>
      <c r="S110" s="18"/>
      <c r="T110" s="18"/>
      <c r="U110" s="18"/>
      <c r="V110" s="35"/>
      <c r="W110" s="19"/>
    </row>
    <row r="111" spans="1:23" ht="220.0" customHeight="true">
      <c r="A111" s="18"/>
      <c r="B111" s="19"/>
      <c r="C111" s="18"/>
      <c r="D111" s="19"/>
      <c r="E111" s="18"/>
      <c r="F111" s="19"/>
      <c r="G111" s="19"/>
      <c r="H111" s="19"/>
      <c r="I111" s="18"/>
      <c r="J111" s="18"/>
      <c r="K111" s="18"/>
      <c r="L111" s="18"/>
      <c r="M111" s="32" t="str">
        <f>IF(OR(K111="",L111=""),"",MATCH(K111,Lists!$C$2:$C$5,0)*MATCH(L111,Lists!$D$2:$D$6,0))</f>
        <v/>
      </c>
      <c r="N111" s="32" t="str">
        <f t="shared" si="2"/>
        <v/>
      </c>
      <c r="O111" s="32" t="str">
        <f t="shared" si="3"/>
        <v/>
      </c>
      <c r="P111" s="18"/>
      <c r="Q111" s="18"/>
      <c r="R111" s="18"/>
      <c r="S111" s="18"/>
      <c r="T111" s="18"/>
      <c r="U111" s="18"/>
      <c r="V111" s="35"/>
      <c r="W111" s="19"/>
    </row>
    <row r="112" spans="1:23" ht="196.0" customHeight="true">
      <c r="A112" s="18"/>
      <c r="B112" s="19"/>
      <c r="C112" s="18"/>
      <c r="D112" s="19"/>
      <c r="E112" s="18"/>
      <c r="F112" s="19"/>
      <c r="G112" s="19"/>
      <c r="H112" s="19"/>
      <c r="I112" s="18"/>
      <c r="J112" s="18"/>
      <c r="K112" s="18"/>
      <c r="L112" s="18"/>
      <c r="M112" s="32" t="str">
        <f>IF(OR(K112="",L112=""),"",MATCH(K112,Lists!$C$2:$C$5,0)*MATCH(L112,Lists!$D$2:$D$6,0))</f>
        <v/>
      </c>
      <c r="N112" s="32" t="str">
        <f t="shared" si="2"/>
        <v/>
      </c>
      <c r="O112" s="32" t="str">
        <f t="shared" si="3"/>
        <v/>
      </c>
      <c r="P112" s="18"/>
      <c r="Q112" s="18"/>
      <c r="R112" s="18"/>
      <c r="S112" s="18"/>
      <c r="T112" s="18"/>
      <c r="U112" s="18"/>
      <c r="V112" s="35"/>
      <c r="W112" s="19"/>
    </row>
    <row r="113" spans="1:23" ht="208.0" customHeight="true">
      <c r="A113" s="18"/>
      <c r="B113" s="19"/>
      <c r="C113" s="18"/>
      <c r="D113" s="19"/>
      <c r="E113" s="18"/>
      <c r="F113" s="19"/>
      <c r="G113" s="19"/>
      <c r="H113" s="19"/>
      <c r="I113" s="18"/>
      <c r="J113" s="18"/>
      <c r="K113" s="18"/>
      <c r="L113" s="18"/>
      <c r="M113" s="32" t="str">
        <f>IF(OR(K113="",L113=""),"",MATCH(K113,Lists!$C$2:$C$5,0)*MATCH(L113,Lists!$D$2:$D$6,0))</f>
        <v/>
      </c>
      <c r="N113" s="32" t="str">
        <f t="shared" si="2"/>
        <v/>
      </c>
      <c r="O113" s="32" t="str">
        <f t="shared" si="3"/>
        <v/>
      </c>
      <c r="P113" s="18"/>
      <c r="Q113" s="18"/>
      <c r="R113" s="18"/>
      <c r="S113" s="18"/>
      <c r="T113" s="18"/>
      <c r="U113" s="18"/>
      <c r="V113" s="35"/>
      <c r="W113" s="19"/>
    </row>
    <row r="114" spans="1:23" ht="208.0" customHeight="true">
      <c r="A114" s="18"/>
      <c r="B114" s="19"/>
      <c r="C114" s="18"/>
      <c r="D114" s="19"/>
      <c r="E114" s="18"/>
      <c r="F114" s="19"/>
      <c r="G114" s="19"/>
      <c r="H114" s="19"/>
      <c r="I114" s="18"/>
      <c r="J114" s="18"/>
      <c r="K114" s="18"/>
      <c r="L114" s="18"/>
      <c r="M114" s="32" t="str">
        <f>IF(OR(K114="",L114=""),"",MATCH(K114,Lists!$C$2:$C$5,0)*MATCH(L114,Lists!$D$2:$D$6,0))</f>
        <v/>
      </c>
      <c r="N114" s="32" t="str">
        <f t="shared" si="2"/>
        <v/>
      </c>
      <c r="O114" s="32" t="str">
        <f t="shared" si="3"/>
        <v/>
      </c>
      <c r="P114" s="18"/>
      <c r="Q114" s="18"/>
      <c r="R114" s="18"/>
      <c r="S114" s="18"/>
      <c r="T114" s="18"/>
      <c r="U114" s="18"/>
      <c r="V114" s="35"/>
      <c r="W114" s="19"/>
    </row>
    <row r="115" spans="1:23" ht="220.0" customHeight="true">
      <c r="A115" s="18"/>
      <c r="B115" s="19"/>
      <c r="C115" s="18"/>
      <c r="D115" s="19"/>
      <c r="E115" s="18"/>
      <c r="F115" s="19"/>
      <c r="G115" s="19"/>
      <c r="H115" s="19"/>
      <c r="I115" s="18"/>
      <c r="J115" s="18"/>
      <c r="K115" s="18"/>
      <c r="L115" s="18"/>
      <c r="M115" s="32" t="str">
        <f>IF(OR(K115="",L115=""),"",MATCH(K115,Lists!$C$2:$C$5,0)*MATCH(L115,Lists!$D$2:$D$6,0))</f>
        <v/>
      </c>
      <c r="N115" s="32" t="str">
        <f t="shared" si="2"/>
        <v/>
      </c>
      <c r="O115" s="32" t="str">
        <f t="shared" si="3"/>
        <v/>
      </c>
      <c r="P115" s="18"/>
      <c r="Q115" s="18"/>
      <c r="R115" s="18"/>
      <c r="S115" s="18"/>
      <c r="T115" s="18"/>
      <c r="U115" s="18"/>
      <c r="V115" s="35"/>
      <c r="W115" s="19"/>
    </row>
    <row r="116" spans="1:23" ht="136.0" customHeight="true">
      <c r="A116" s="18"/>
      <c r="B116" s="19"/>
      <c r="C116" s="18"/>
      <c r="D116" s="19"/>
      <c r="E116" s="18"/>
      <c r="F116" s="19"/>
      <c r="G116" s="19"/>
      <c r="H116" s="19"/>
      <c r="I116" s="18"/>
      <c r="J116" s="18"/>
      <c r="K116" s="18"/>
      <c r="L116" s="18"/>
      <c r="M116" s="32" t="str">
        <f>IF(OR(K116="",L116=""),"",MATCH(K116,Lists!$C$2:$C$5,0)*MATCH(L116,Lists!$D$2:$D$6,0))</f>
        <v/>
      </c>
      <c r="N116" s="32" t="str">
        <f t="shared" si="2"/>
        <v/>
      </c>
      <c r="O116" s="32" t="str">
        <f t="shared" si="3"/>
        <v/>
      </c>
      <c r="P116" s="18"/>
      <c r="Q116" s="18"/>
      <c r="R116" s="18"/>
      <c r="S116" s="18"/>
      <c r="T116" s="18"/>
      <c r="U116" s="18"/>
      <c r="V116" s="35"/>
      <c r="W116" s="19"/>
    </row>
    <row r="117" spans="1:23" ht="184.0" customHeight="true">
      <c r="A117" s="18"/>
      <c r="B117" s="19"/>
      <c r="C117" s="18"/>
      <c r="D117" s="19"/>
      <c r="E117" s="18"/>
      <c r="F117" s="19"/>
      <c r="G117" s="19"/>
      <c r="H117" s="19"/>
      <c r="I117" s="18"/>
      <c r="J117" s="18"/>
      <c r="K117" s="18"/>
      <c r="L117" s="18"/>
      <c r="M117" s="32" t="str">
        <f>IF(OR(K117="",L117=""),"",MATCH(K117,Lists!$C$2:$C$5,0)*MATCH(L117,Lists!$D$2:$D$6,0))</f>
        <v/>
      </c>
      <c r="N117" s="32" t="str">
        <f t="shared" si="2"/>
        <v/>
      </c>
      <c r="O117" s="32" t="str">
        <f t="shared" si="3"/>
        <v/>
      </c>
      <c r="P117" s="18"/>
      <c r="Q117" s="18"/>
      <c r="R117" s="18"/>
      <c r="S117" s="18"/>
      <c r="T117" s="18"/>
      <c r="U117" s="18"/>
      <c r="V117" s="35"/>
      <c r="W117" s="19"/>
    </row>
    <row r="118" spans="1:23" ht="220.0" customHeight="true">
      <c r="A118" s="18"/>
      <c r="B118" s="19"/>
      <c r="C118" s="18"/>
      <c r="D118" s="19"/>
      <c r="E118" s="18"/>
      <c r="F118" s="19"/>
      <c r="G118" s="19"/>
      <c r="H118" s="19"/>
      <c r="I118" s="18"/>
      <c r="J118" s="18"/>
      <c r="K118" s="18"/>
      <c r="L118" s="18"/>
      <c r="M118" s="32" t="str">
        <f>IF(OR(K118="",L118=""),"",MATCH(K118,Lists!$C$2:$C$5,0)*MATCH(L118,Lists!$D$2:$D$6,0))</f>
        <v/>
      </c>
      <c r="N118" s="32" t="str">
        <f t="shared" si="2"/>
        <v/>
      </c>
      <c r="O118" s="32" t="str">
        <f t="shared" si="3"/>
        <v/>
      </c>
      <c r="P118" s="18"/>
      <c r="Q118" s="18"/>
      <c r="R118" s="18"/>
      <c r="S118" s="18"/>
      <c r="T118" s="18"/>
      <c r="U118" s="18"/>
      <c r="V118" s="35"/>
      <c r="W118" s="19"/>
    </row>
    <row r="119" spans="1:23" ht="172.0" customHeight="true">
      <c r="A119" s="18"/>
      <c r="B119" s="19"/>
      <c r="C119" s="18"/>
      <c r="D119" s="19"/>
      <c r="E119" s="18"/>
      <c r="F119" s="19"/>
      <c r="G119" s="19"/>
      <c r="H119" s="19"/>
      <c r="I119" s="18"/>
      <c r="J119" s="18"/>
      <c r="K119" s="18"/>
      <c r="L119" s="18"/>
      <c r="M119" s="32" t="str">
        <f>IF(OR(K119="",L119=""),"",MATCH(K119,Lists!$C$2:$C$5,0)*MATCH(L119,Lists!$D$2:$D$6,0))</f>
        <v/>
      </c>
      <c r="N119" s="32" t="str">
        <f t="shared" si="2"/>
        <v/>
      </c>
      <c r="O119" s="32" t="str">
        <f t="shared" si="3"/>
        <v/>
      </c>
      <c r="P119" s="18"/>
      <c r="Q119" s="18"/>
      <c r="R119" s="18"/>
      <c r="S119" s="18"/>
      <c r="T119" s="18"/>
      <c r="U119" s="18"/>
      <c r="V119" s="35"/>
      <c r="W119" s="19"/>
    </row>
    <row r="120" spans="1:23" ht="136.0" customHeight="true">
      <c r="A120" s="18"/>
      <c r="B120" s="19"/>
      <c r="C120" s="18"/>
      <c r="D120" s="19"/>
      <c r="E120" s="18"/>
      <c r="F120" s="19"/>
      <c r="G120" s="19"/>
      <c r="H120" s="19"/>
      <c r="I120" s="18"/>
      <c r="J120" s="18"/>
      <c r="K120" s="18"/>
      <c r="L120" s="18"/>
      <c r="M120" s="32" t="str">
        <f>IF(OR(K120="",L120=""),"",MATCH(K120,Lists!$C$2:$C$5,0)*MATCH(L120,Lists!$D$2:$D$6,0))</f>
        <v/>
      </c>
      <c r="N120" s="32" t="str">
        <f t="shared" si="2"/>
        <v/>
      </c>
      <c r="O120" s="32" t="str">
        <f t="shared" si="3"/>
        <v/>
      </c>
      <c r="P120" s="18"/>
      <c r="Q120" s="18"/>
      <c r="R120" s="18"/>
      <c r="S120" s="18"/>
      <c r="T120" s="18"/>
      <c r="U120" s="18"/>
      <c r="V120" s="35"/>
      <c r="W120" s="19"/>
    </row>
    <row r="121" spans="1:23" ht="124.0" customHeight="true">
      <c r="A121" s="18"/>
      <c r="B121" s="19"/>
      <c r="C121" s="18"/>
      <c r="D121" s="19"/>
      <c r="E121" s="18"/>
      <c r="F121" s="19"/>
      <c r="G121" s="19"/>
      <c r="H121" s="19"/>
      <c r="I121" s="18"/>
      <c r="J121" s="18"/>
      <c r="K121" s="18"/>
      <c r="L121" s="18"/>
      <c r="M121" s="32" t="str">
        <f>IF(OR(K121="",L121=""),"",MATCH(K121,Lists!$C$2:$C$5,0)*MATCH(L121,Lists!$D$2:$D$6,0))</f>
        <v/>
      </c>
      <c r="N121" s="32" t="str">
        <f t="shared" si="2"/>
        <v/>
      </c>
      <c r="O121" s="32" t="str">
        <f t="shared" si="3"/>
        <v/>
      </c>
      <c r="P121" s="18"/>
      <c r="Q121" s="18"/>
      <c r="R121" s="18"/>
      <c r="S121" s="18"/>
      <c r="T121" s="18"/>
      <c r="U121" s="18"/>
      <c r="V121" s="35"/>
      <c r="W121" s="19"/>
    </row>
    <row r="122" spans="1:23" ht="172.0" customHeight="true">
      <c r="A122" s="18"/>
      <c r="B122" s="19"/>
      <c r="C122" s="18"/>
      <c r="D122" s="19"/>
      <c r="E122" s="18"/>
      <c r="F122" s="19"/>
      <c r="G122" s="19"/>
      <c r="H122" s="19"/>
      <c r="I122" s="18"/>
      <c r="J122" s="18"/>
      <c r="K122" s="18"/>
      <c r="L122" s="18"/>
      <c r="M122" s="32" t="str">
        <f>IF(OR(K122="",L122=""),"",MATCH(K122,Lists!$C$2:$C$5,0)*MATCH(L122,Lists!$D$2:$D$6,0))</f>
        <v/>
      </c>
      <c r="N122" s="32" t="str">
        <f t="shared" si="2"/>
        <v/>
      </c>
      <c r="O122" s="32" t="str">
        <f t="shared" si="3"/>
        <v/>
      </c>
      <c r="P122" s="18"/>
      <c r="Q122" s="18"/>
      <c r="R122" s="18"/>
      <c r="S122" s="18"/>
      <c r="T122" s="18"/>
      <c r="U122" s="18"/>
      <c r="V122" s="35"/>
      <c r="W122" s="19"/>
    </row>
    <row r="123" spans="1:23" ht="172.0" customHeight="true">
      <c r="A123" s="18"/>
      <c r="B123" s="19"/>
      <c r="C123" s="18"/>
      <c r="D123" s="19"/>
      <c r="E123" s="18"/>
      <c r="F123" s="19"/>
      <c r="G123" s="19"/>
      <c r="H123" s="19"/>
      <c r="I123" s="18"/>
      <c r="J123" s="18"/>
      <c r="K123" s="18"/>
      <c r="L123" s="18"/>
      <c r="M123" s="32" t="str">
        <f>IF(OR(K123="",L123=""),"",MATCH(K123,Lists!$C$2:$C$5,0)*MATCH(L123,Lists!$D$2:$D$6,0))</f>
        <v/>
      </c>
      <c r="N123" s="32" t="str">
        <f t="shared" si="2"/>
        <v/>
      </c>
      <c r="O123" s="32" t="str">
        <f t="shared" si="3"/>
        <v/>
      </c>
      <c r="P123" s="18"/>
      <c r="Q123" s="18"/>
      <c r="R123" s="18"/>
      <c r="S123" s="18"/>
      <c r="T123" s="18"/>
      <c r="U123" s="18"/>
      <c r="V123" s="35"/>
      <c r="W123" s="19"/>
    </row>
    <row r="124" spans="1:23" ht="136.0" customHeight="true">
      <c r="A124" s="18"/>
      <c r="B124" s="19"/>
      <c r="C124" s="18"/>
      <c r="D124" s="19"/>
      <c r="E124" s="18"/>
      <c r="F124" s="19"/>
      <c r="G124" s="19"/>
      <c r="H124" s="19"/>
      <c r="I124" s="18"/>
      <c r="J124" s="18"/>
      <c r="K124" s="18"/>
      <c r="L124" s="18"/>
      <c r="M124" s="32" t="str">
        <f>IF(OR(K124="",L124=""),"",MATCH(K124,Lists!$C$2:$C$5,0)*MATCH(L124,Lists!$D$2:$D$6,0))</f>
        <v/>
      </c>
      <c r="N124" s="32" t="str">
        <f t="shared" si="2"/>
        <v/>
      </c>
      <c r="O124" s="32" t="str">
        <f t="shared" si="3"/>
        <v/>
      </c>
      <c r="P124" s="18"/>
      <c r="Q124" s="18"/>
      <c r="R124" s="18"/>
      <c r="S124" s="18"/>
      <c r="T124" s="18"/>
      <c r="U124" s="18"/>
      <c r="V124" s="35"/>
      <c r="W124" s="19"/>
    </row>
    <row r="125" spans="1:23" ht="208.0" customHeight="true">
      <c r="A125" s="18"/>
      <c r="B125" s="19"/>
      <c r="C125" s="18"/>
      <c r="D125" s="19"/>
      <c r="E125" s="18"/>
      <c r="F125" s="19"/>
      <c r="G125" s="19"/>
      <c r="H125" s="19"/>
      <c r="I125" s="18"/>
      <c r="J125" s="18"/>
      <c r="K125" s="18"/>
      <c r="L125" s="18"/>
      <c r="M125" s="32" t="str">
        <f>IF(OR(K125="",L125=""),"",MATCH(K125,Lists!$C$2:$C$5,0)*MATCH(L125,Lists!$D$2:$D$6,0))</f>
        <v/>
      </c>
      <c r="N125" s="32" t="str">
        <f t="shared" si="2"/>
        <v/>
      </c>
      <c r="O125" s="32" t="str">
        <f t="shared" si="3"/>
        <v/>
      </c>
      <c r="P125" s="18"/>
      <c r="Q125" s="18"/>
      <c r="R125" s="18"/>
      <c r="S125" s="18"/>
      <c r="T125" s="18"/>
      <c r="U125" s="18"/>
      <c r="V125" s="35"/>
      <c r="W125" s="19"/>
    </row>
    <row r="126" spans="1:23" ht="172.0" customHeight="true">
      <c r="A126" s="18"/>
      <c r="B126" s="19"/>
      <c r="C126" s="18"/>
      <c r="D126" s="19"/>
      <c r="E126" s="18"/>
      <c r="F126" s="19"/>
      <c r="G126" s="19"/>
      <c r="H126" s="19"/>
      <c r="I126" s="18"/>
      <c r="J126" s="18"/>
      <c r="K126" s="18"/>
      <c r="L126" s="18"/>
      <c r="M126" s="32" t="str">
        <f>IF(OR(K126="",L126=""),"",MATCH(K126,Lists!$C$2:$C$5,0)*MATCH(L126,Lists!$D$2:$D$6,0))</f>
        <v/>
      </c>
      <c r="N126" s="32" t="str">
        <f t="shared" si="2"/>
        <v/>
      </c>
      <c r="O126" s="32" t="str">
        <f t="shared" si="3"/>
        <v/>
      </c>
      <c r="P126" s="18"/>
      <c r="Q126" s="18"/>
      <c r="R126" s="18"/>
      <c r="S126" s="18"/>
      <c r="T126" s="18"/>
      <c r="U126" s="18"/>
      <c r="V126" s="35"/>
      <c r="W126" s="19"/>
    </row>
    <row r="127" spans="1:23" ht="196.0" customHeight="true">
      <c r="A127" s="18"/>
      <c r="B127" s="19"/>
      <c r="C127" s="18"/>
      <c r="D127" s="19"/>
      <c r="E127" s="18"/>
      <c r="F127" s="19"/>
      <c r="G127" s="19"/>
      <c r="H127" s="19"/>
      <c r="I127" s="18"/>
      <c r="J127" s="18"/>
      <c r="K127" s="18"/>
      <c r="L127" s="18"/>
      <c r="M127" s="32" t="str">
        <f>IF(OR(K127="",L127=""),"",MATCH(K127,Lists!$C$2:$C$5,0)*MATCH(L127,Lists!$D$2:$D$6,0))</f>
        <v/>
      </c>
      <c r="N127" s="32" t="str">
        <f t="shared" si="2"/>
        <v/>
      </c>
      <c r="O127" s="32" t="str">
        <f t="shared" si="3"/>
        <v/>
      </c>
      <c r="P127" s="18"/>
      <c r="Q127" s="18"/>
      <c r="R127" s="18"/>
      <c r="S127" s="18"/>
      <c r="T127" s="18"/>
      <c r="U127" s="18"/>
      <c r="V127" s="35"/>
      <c r="W127" s="19"/>
    </row>
    <row r="128" spans="1:23" ht="196.0" customHeight="true">
      <c r="A128" s="18"/>
      <c r="B128" s="19"/>
      <c r="C128" s="18"/>
      <c r="D128" s="19"/>
      <c r="E128" s="18"/>
      <c r="F128" s="19"/>
      <c r="G128" s="19"/>
      <c r="H128" s="19"/>
      <c r="I128" s="18"/>
      <c r="J128" s="18"/>
      <c r="K128" s="18"/>
      <c r="L128" s="18"/>
      <c r="M128" s="32" t="str">
        <f>IF(OR(K128="",L128=""),"",MATCH(K128,Lists!$C$2:$C$5,0)*MATCH(L128,Lists!$D$2:$D$6,0))</f>
        <v/>
      </c>
      <c r="N128" s="32" t="str">
        <f t="shared" si="2"/>
        <v/>
      </c>
      <c r="O128" s="32" t="str">
        <f t="shared" si="3"/>
        <v/>
      </c>
      <c r="P128" s="18"/>
      <c r="Q128" s="18"/>
      <c r="R128" s="18"/>
      <c r="S128" s="18"/>
      <c r="T128" s="18"/>
      <c r="U128" s="18"/>
      <c r="V128" s="35"/>
      <c r="W128" s="19"/>
    </row>
    <row r="129" spans="1:23" ht="160.0" customHeight="true">
      <c r="A129" s="18"/>
      <c r="B129" s="19"/>
      <c r="C129" s="18"/>
      <c r="D129" s="19"/>
      <c r="E129" s="18"/>
      <c r="F129" s="19"/>
      <c r="G129" s="19"/>
      <c r="H129" s="19"/>
      <c r="I129" s="18"/>
      <c r="J129" s="18"/>
      <c r="K129" s="18"/>
      <c r="L129" s="18"/>
      <c r="M129" s="32" t="str">
        <f>IF(OR(K129="",L129=""),"",MATCH(K129,Lists!$C$2:$C$5,0)*MATCH(L129,Lists!$D$2:$D$6,0))</f>
        <v/>
      </c>
      <c r="N129" s="32" t="str">
        <f t="shared" si="2"/>
        <v/>
      </c>
      <c r="O129" s="32" t="str">
        <f t="shared" si="3"/>
        <v/>
      </c>
      <c r="P129" s="18"/>
      <c r="Q129" s="18"/>
      <c r="R129" s="18"/>
      <c r="S129" s="18"/>
      <c r="T129" s="18"/>
      <c r="U129" s="18"/>
      <c r="V129" s="35"/>
      <c r="W129" s="19"/>
    </row>
    <row r="130" spans="1:23" ht="136.0" customHeight="true">
      <c r="A130" s="18"/>
      <c r="B130" s="19"/>
      <c r="C130" s="18"/>
      <c r="D130" s="19"/>
      <c r="E130" s="18"/>
      <c r="F130" s="19"/>
      <c r="G130" s="19"/>
      <c r="H130" s="19"/>
      <c r="I130" s="18"/>
      <c r="J130" s="18"/>
      <c r="K130" s="18"/>
      <c r="L130" s="18"/>
      <c r="M130" s="32" t="str">
        <f>IF(OR(K130="",L130=""),"",MATCH(K130,Lists!$C$2:$C$5,0)*MATCH(L130,Lists!$D$2:$D$6,0))</f>
        <v/>
      </c>
      <c r="N130" s="32" t="str">
        <f t="shared" ref="N130:N193" si="4">IF(M130="","",IF(M130&gt;=12,"Critical",IF(M130&gt;=8,"High",IF(M130&gt;=4,"Medium","Low"))))</f>
        <v/>
      </c>
      <c r="O130" s="32" t="str">
        <f t="shared" ref="O130:O193" si="5">IF(N130="","",IF(N130="Critical","P1",IF(N130="High","P2",IF(N130="Medium","P3","P4"))))</f>
        <v/>
      </c>
      <c r="P130" s="18"/>
      <c r="Q130" s="18"/>
      <c r="R130" s="18"/>
      <c r="S130" s="18"/>
      <c r="T130" s="18"/>
      <c r="U130" s="18"/>
      <c r="V130" s="35"/>
      <c r="W130" s="19"/>
    </row>
    <row r="131" spans="1:23" ht="136.0" customHeight="true">
      <c r="A131" s="18"/>
      <c r="B131" s="19"/>
      <c r="C131" s="18"/>
      <c r="D131" s="19"/>
      <c r="E131" s="18"/>
      <c r="F131" s="19"/>
      <c r="G131" s="19"/>
      <c r="H131" s="19"/>
      <c r="I131" s="18"/>
      <c r="J131" s="18"/>
      <c r="K131" s="18"/>
      <c r="L131" s="18"/>
      <c r="M131" s="32" t="str">
        <f>IF(OR(K131="",L131=""),"",MATCH(K131,Lists!$C$2:$C$5,0)*MATCH(L131,Lists!$D$2:$D$6,0))</f>
        <v/>
      </c>
      <c r="N131" s="32" t="str">
        <f t="shared" si="4"/>
        <v/>
      </c>
      <c r="O131" s="32" t="str">
        <f t="shared" si="5"/>
        <v/>
      </c>
      <c r="P131" s="18"/>
      <c r="Q131" s="18"/>
      <c r="R131" s="18"/>
      <c r="S131" s="18"/>
      <c r="T131" s="18"/>
      <c r="U131" s="18"/>
      <c r="V131" s="35"/>
      <c r="W131" s="19"/>
    </row>
    <row r="132" spans="1:23" ht="136.0" customHeight="true">
      <c r="A132" s="18"/>
      <c r="B132" s="19"/>
      <c r="C132" s="18"/>
      <c r="D132" s="19"/>
      <c r="E132" s="18"/>
      <c r="F132" s="19"/>
      <c r="G132" s="19"/>
      <c r="H132" s="19"/>
      <c r="I132" s="18"/>
      <c r="J132" s="18"/>
      <c r="K132" s="18"/>
      <c r="L132" s="18"/>
      <c r="M132" s="32" t="str">
        <f>IF(OR(K132="",L132=""),"",MATCH(K132,Lists!$C$2:$C$5,0)*MATCH(L132,Lists!$D$2:$D$6,0))</f>
        <v/>
      </c>
      <c r="N132" s="32" t="str">
        <f t="shared" si="4"/>
        <v/>
      </c>
      <c r="O132" s="32" t="str">
        <f t="shared" si="5"/>
        <v/>
      </c>
      <c r="P132" s="18"/>
      <c r="Q132" s="18"/>
      <c r="R132" s="18"/>
      <c r="S132" s="18"/>
      <c r="T132" s="18"/>
      <c r="U132" s="18"/>
      <c r="V132" s="35"/>
      <c r="W132" s="19"/>
    </row>
    <row r="133" spans="1:23" ht="136.0" customHeight="true">
      <c r="A133" s="18"/>
      <c r="B133" s="19"/>
      <c r="C133" s="18"/>
      <c r="D133" s="19"/>
      <c r="E133" s="18"/>
      <c r="F133" s="19"/>
      <c r="G133" s="19"/>
      <c r="H133" s="19"/>
      <c r="I133" s="18"/>
      <c r="J133" s="18"/>
      <c r="K133" s="18"/>
      <c r="L133" s="18"/>
      <c r="M133" s="32" t="str">
        <f>IF(OR(K133="",L133=""),"",MATCH(K133,Lists!$C$2:$C$5,0)*MATCH(L133,Lists!$D$2:$D$6,0))</f>
        <v/>
      </c>
      <c r="N133" s="32" t="str">
        <f t="shared" si="4"/>
        <v/>
      </c>
      <c r="O133" s="32" t="str">
        <f t="shared" si="5"/>
        <v/>
      </c>
      <c r="P133" s="18"/>
      <c r="Q133" s="18"/>
      <c r="R133" s="18"/>
      <c r="S133" s="18"/>
      <c r="T133" s="18"/>
      <c r="U133" s="18"/>
      <c r="V133" s="35"/>
      <c r="W133" s="19"/>
    </row>
    <row r="134" spans="1:23" ht="112.0" customHeight="true">
      <c r="A134" s="18"/>
      <c r="B134" s="19"/>
      <c r="C134" s="18"/>
      <c r="D134" s="19"/>
      <c r="E134" s="18"/>
      <c r="F134" s="19"/>
      <c r="G134" s="19"/>
      <c r="H134" s="19"/>
      <c r="I134" s="18"/>
      <c r="J134" s="18"/>
      <c r="K134" s="18"/>
      <c r="L134" s="18"/>
      <c r="M134" s="32" t="str">
        <f>IF(OR(K134="",L134=""),"",MATCH(K134,Lists!$C$2:$C$5,0)*MATCH(L134,Lists!$D$2:$D$6,0))</f>
        <v/>
      </c>
      <c r="N134" s="32" t="str">
        <f t="shared" si="4"/>
        <v/>
      </c>
      <c r="O134" s="32" t="str">
        <f t="shared" si="5"/>
        <v/>
      </c>
      <c r="P134" s="18"/>
      <c r="Q134" s="18"/>
      <c r="R134" s="18"/>
      <c r="S134" s="18"/>
      <c r="T134" s="18"/>
      <c r="U134" s="18"/>
      <c r="V134" s="35"/>
      <c r="W134" s="19"/>
    </row>
    <row r="135" spans="1:23" ht="112.0" customHeight="true">
      <c r="A135" s="18"/>
      <c r="B135" s="19"/>
      <c r="C135" s="18"/>
      <c r="D135" s="19"/>
      <c r="E135" s="18"/>
      <c r="F135" s="19"/>
      <c r="G135" s="19"/>
      <c r="H135" s="19"/>
      <c r="I135" s="18"/>
      <c r="J135" s="18"/>
      <c r="K135" s="18"/>
      <c r="L135" s="18"/>
      <c r="M135" s="32" t="str">
        <f>IF(OR(K135="",L135=""),"",MATCH(K135,Lists!$C$2:$C$5,0)*MATCH(L135,Lists!$D$2:$D$6,0))</f>
        <v/>
      </c>
      <c r="N135" s="32" t="str">
        <f t="shared" si="4"/>
        <v/>
      </c>
      <c r="O135" s="32" t="str">
        <f t="shared" si="5"/>
        <v/>
      </c>
      <c r="P135" s="18"/>
      <c r="Q135" s="18"/>
      <c r="R135" s="18"/>
      <c r="S135" s="18"/>
      <c r="T135" s="18"/>
      <c r="U135" s="18"/>
      <c r="V135" s="35"/>
      <c r="W135" s="19"/>
    </row>
    <row r="136" spans="1:23" ht="136.0" customHeight="true">
      <c r="A136" s="18"/>
      <c r="B136" s="19"/>
      <c r="C136" s="18"/>
      <c r="D136" s="19"/>
      <c r="E136" s="18"/>
      <c r="F136" s="19"/>
      <c r="G136" s="19"/>
      <c r="H136" s="19"/>
      <c r="I136" s="18"/>
      <c r="J136" s="18"/>
      <c r="K136" s="18"/>
      <c r="L136" s="18"/>
      <c r="M136" s="32" t="str">
        <f>IF(OR(K136="",L136=""),"",MATCH(K136,Lists!$C$2:$C$5,0)*MATCH(L136,Lists!$D$2:$D$6,0))</f>
        <v/>
      </c>
      <c r="N136" s="32" t="str">
        <f t="shared" si="4"/>
        <v/>
      </c>
      <c r="O136" s="32" t="str">
        <f t="shared" si="5"/>
        <v/>
      </c>
      <c r="P136" s="18"/>
      <c r="Q136" s="18"/>
      <c r="R136" s="18"/>
      <c r="S136" s="18"/>
      <c r="T136" s="18"/>
      <c r="U136" s="18"/>
      <c r="V136" s="35"/>
      <c r="W136" s="19"/>
    </row>
    <row r="137" spans="1:23" ht="100.0" customHeight="true">
      <c r="A137" s="18"/>
      <c r="B137" s="19"/>
      <c r="C137" s="18"/>
      <c r="D137" s="19"/>
      <c r="E137" s="18"/>
      <c r="F137" s="19"/>
      <c r="G137" s="19"/>
      <c r="H137" s="19"/>
      <c r="I137" s="18"/>
      <c r="J137" s="18"/>
      <c r="K137" s="18"/>
      <c r="L137" s="18"/>
      <c r="M137" s="32" t="str">
        <f>IF(OR(K137="",L137=""),"",MATCH(K137,Lists!$C$2:$C$5,0)*MATCH(L137,Lists!$D$2:$D$6,0))</f>
        <v/>
      </c>
      <c r="N137" s="32" t="str">
        <f t="shared" si="4"/>
        <v/>
      </c>
      <c r="O137" s="32" t="str">
        <f t="shared" si="5"/>
        <v/>
      </c>
      <c r="P137" s="18"/>
      <c r="Q137" s="18"/>
      <c r="R137" s="18"/>
      <c r="S137" s="18"/>
      <c r="T137" s="18"/>
      <c r="U137" s="18"/>
      <c r="V137" s="35"/>
      <c r="W137" s="19"/>
    </row>
    <row r="138" spans="1:23" ht="88.0" customHeight="true">
      <c r="A138" s="18"/>
      <c r="B138" s="19"/>
      <c r="C138" s="18"/>
      <c r="D138" s="19"/>
      <c r="E138" s="18"/>
      <c r="F138" s="19"/>
      <c r="G138" s="19"/>
      <c r="H138" s="19"/>
      <c r="I138" s="18"/>
      <c r="J138" s="18"/>
      <c r="K138" s="18"/>
      <c r="L138" s="18"/>
      <c r="M138" s="32" t="str">
        <f>IF(OR(K138="",L138=""),"",MATCH(K138,Lists!$C$2:$C$5,0)*MATCH(L138,Lists!$D$2:$D$6,0))</f>
        <v/>
      </c>
      <c r="N138" s="32" t="str">
        <f t="shared" si="4"/>
        <v/>
      </c>
      <c r="O138" s="32" t="str">
        <f t="shared" si="5"/>
        <v/>
      </c>
      <c r="P138" s="18"/>
      <c r="Q138" s="18"/>
      <c r="R138" s="18"/>
      <c r="S138" s="18"/>
      <c r="T138" s="18"/>
      <c r="U138" s="18"/>
      <c r="V138" s="35"/>
      <c r="W138" s="19"/>
    </row>
    <row r="139" spans="1:23" ht="124.0" customHeight="true">
      <c r="A139" s="18"/>
      <c r="B139" s="19"/>
      <c r="C139" s="18"/>
      <c r="D139" s="19"/>
      <c r="E139" s="18"/>
      <c r="F139" s="19"/>
      <c r="G139" s="19"/>
      <c r="H139" s="19"/>
      <c r="I139" s="18"/>
      <c r="J139" s="18"/>
      <c r="K139" s="18"/>
      <c r="L139" s="18"/>
      <c r="M139" s="32" t="str">
        <f>IF(OR(K139="",L139=""),"",MATCH(K139,Lists!$C$2:$C$5,0)*MATCH(L139,Lists!$D$2:$D$6,0))</f>
        <v/>
      </c>
      <c r="N139" s="32" t="str">
        <f t="shared" si="4"/>
        <v/>
      </c>
      <c r="O139" s="32" t="str">
        <f t="shared" si="5"/>
        <v/>
      </c>
      <c r="P139" s="18"/>
      <c r="Q139" s="18"/>
      <c r="R139" s="18"/>
      <c r="S139" s="18"/>
      <c r="T139" s="18"/>
      <c r="U139" s="18"/>
      <c r="V139" s="35"/>
      <c r="W139" s="19"/>
    </row>
    <row r="140" spans="1:23" ht="136.0" customHeight="true">
      <c r="A140" s="18"/>
      <c r="B140" s="19"/>
      <c r="C140" s="18"/>
      <c r="D140" s="19"/>
      <c r="E140" s="18"/>
      <c r="F140" s="19"/>
      <c r="G140" s="19"/>
      <c r="H140" s="19"/>
      <c r="I140" s="18"/>
      <c r="J140" s="18"/>
      <c r="K140" s="18"/>
      <c r="L140" s="18"/>
      <c r="M140" s="32" t="str">
        <f>IF(OR(K140="",L140=""),"",MATCH(K140,Lists!$C$2:$C$5,0)*MATCH(L140,Lists!$D$2:$D$6,0))</f>
        <v/>
      </c>
      <c r="N140" s="32" t="str">
        <f t="shared" si="4"/>
        <v/>
      </c>
      <c r="O140" s="32" t="str">
        <f t="shared" si="5"/>
        <v/>
      </c>
      <c r="P140" s="18"/>
      <c r="Q140" s="18"/>
      <c r="R140" s="18"/>
      <c r="S140" s="18"/>
      <c r="T140" s="18"/>
      <c r="U140" s="18"/>
      <c r="V140" s="35"/>
      <c r="W140" s="19"/>
    </row>
    <row r="141" spans="1:23" ht="148.0" customHeight="true">
      <c r="A141" s="18"/>
      <c r="B141" s="19"/>
      <c r="C141" s="18"/>
      <c r="D141" s="19"/>
      <c r="E141" s="18"/>
      <c r="F141" s="19"/>
      <c r="G141" s="19"/>
      <c r="H141" s="19"/>
      <c r="I141" s="18"/>
      <c r="J141" s="18"/>
      <c r="K141" s="18"/>
      <c r="L141" s="18"/>
      <c r="M141" s="32" t="str">
        <f>IF(OR(K141="",L141=""),"",MATCH(K141,Lists!$C$2:$C$5,0)*MATCH(L141,Lists!$D$2:$D$6,0))</f>
        <v/>
      </c>
      <c r="N141" s="32" t="str">
        <f t="shared" si="4"/>
        <v/>
      </c>
      <c r="O141" s="32" t="str">
        <f t="shared" si="5"/>
        <v/>
      </c>
      <c r="P141" s="18"/>
      <c r="Q141" s="18"/>
      <c r="R141" s="18"/>
      <c r="S141" s="18"/>
      <c r="T141" s="18"/>
      <c r="U141" s="18"/>
      <c r="V141" s="35"/>
      <c r="W141" s="19"/>
    </row>
    <row r="142" spans="1:23" ht="160.0" customHeight="true">
      <c r="A142" s="18"/>
      <c r="B142" s="19"/>
      <c r="C142" s="18"/>
      <c r="D142" s="19"/>
      <c r="E142" s="18"/>
      <c r="F142" s="19"/>
      <c r="G142" s="19"/>
      <c r="H142" s="19"/>
      <c r="I142" s="18"/>
      <c r="J142" s="18"/>
      <c r="K142" s="18"/>
      <c r="L142" s="18"/>
      <c r="M142" s="32" t="str">
        <f>IF(OR(K142="",L142=""),"",MATCH(K142,Lists!$C$2:$C$5,0)*MATCH(L142,Lists!$D$2:$D$6,0))</f>
        <v/>
      </c>
      <c r="N142" s="32" t="str">
        <f t="shared" si="4"/>
        <v/>
      </c>
      <c r="O142" s="32" t="str">
        <f t="shared" si="5"/>
        <v/>
      </c>
      <c r="P142" s="18"/>
      <c r="Q142" s="18"/>
      <c r="R142" s="18"/>
      <c r="S142" s="18"/>
      <c r="T142" s="18"/>
      <c r="U142" s="18"/>
      <c r="V142" s="35"/>
      <c r="W142" s="19"/>
    </row>
    <row r="143" spans="1:23" ht="148.0" customHeight="true">
      <c r="A143" s="18"/>
      <c r="B143" s="19"/>
      <c r="C143" s="18"/>
      <c r="D143" s="19"/>
      <c r="E143" s="18"/>
      <c r="F143" s="19"/>
      <c r="G143" s="19"/>
      <c r="H143" s="19"/>
      <c r="I143" s="18"/>
      <c r="J143" s="18"/>
      <c r="K143" s="18"/>
      <c r="L143" s="18"/>
      <c r="M143" s="32" t="str">
        <f>IF(OR(K143="",L143=""),"",MATCH(K143,Lists!$C$2:$C$5,0)*MATCH(L143,Lists!$D$2:$D$6,0))</f>
        <v/>
      </c>
      <c r="N143" s="32" t="str">
        <f t="shared" si="4"/>
        <v/>
      </c>
      <c r="O143" s="32" t="str">
        <f t="shared" si="5"/>
        <v/>
      </c>
      <c r="P143" s="18"/>
      <c r="Q143" s="18"/>
      <c r="R143" s="18"/>
      <c r="S143" s="18"/>
      <c r="T143" s="18"/>
      <c r="U143" s="18"/>
      <c r="V143" s="35"/>
      <c r="W143" s="19"/>
    </row>
    <row r="144" spans="1:23" ht="148.0" customHeight="true">
      <c r="A144" s="18"/>
      <c r="B144" s="19"/>
      <c r="C144" s="18"/>
      <c r="D144" s="19"/>
      <c r="E144" s="18"/>
      <c r="F144" s="19"/>
      <c r="G144" s="19"/>
      <c r="H144" s="19"/>
      <c r="I144" s="18"/>
      <c r="J144" s="18"/>
      <c r="K144" s="18"/>
      <c r="L144" s="18"/>
      <c r="M144" s="32" t="str">
        <f>IF(OR(K144="",L144=""),"",MATCH(K144,Lists!$C$2:$C$5,0)*MATCH(L144,Lists!$D$2:$D$6,0))</f>
        <v/>
      </c>
      <c r="N144" s="32" t="str">
        <f t="shared" si="4"/>
        <v/>
      </c>
      <c r="O144" s="32" t="str">
        <f t="shared" si="5"/>
        <v/>
      </c>
      <c r="P144" s="18"/>
      <c r="Q144" s="18"/>
      <c r="R144" s="18"/>
      <c r="S144" s="18"/>
      <c r="T144" s="18"/>
      <c r="U144" s="18"/>
      <c r="V144" s="35"/>
      <c r="W144" s="19"/>
    </row>
    <row r="145" spans="1:23" ht="124.0" customHeight="true">
      <c r="A145" s="18"/>
      <c r="B145" s="19"/>
      <c r="C145" s="18"/>
      <c r="D145" s="19"/>
      <c r="E145" s="18"/>
      <c r="F145" s="19"/>
      <c r="G145" s="19"/>
      <c r="H145" s="19"/>
      <c r="I145" s="18"/>
      <c r="J145" s="18"/>
      <c r="K145" s="18"/>
      <c r="L145" s="18"/>
      <c r="M145" s="32" t="str">
        <f>IF(OR(K145="",L145=""),"",MATCH(K145,Lists!$C$2:$C$5,0)*MATCH(L145,Lists!$D$2:$D$6,0))</f>
        <v/>
      </c>
      <c r="N145" s="32" t="str">
        <f t="shared" si="4"/>
        <v/>
      </c>
      <c r="O145" s="32" t="str">
        <f t="shared" si="5"/>
        <v/>
      </c>
      <c r="P145" s="18"/>
      <c r="Q145" s="18"/>
      <c r="R145" s="18"/>
      <c r="S145" s="18"/>
      <c r="T145" s="18"/>
      <c r="U145" s="18"/>
      <c r="V145" s="35"/>
      <c r="W145" s="19"/>
    </row>
    <row r="146" spans="1:23" ht="148.0" customHeight="true">
      <c r="A146" s="18"/>
      <c r="B146" s="19"/>
      <c r="C146" s="18"/>
      <c r="D146" s="19"/>
      <c r="E146" s="18"/>
      <c r="F146" s="19"/>
      <c r="G146" s="19"/>
      <c r="H146" s="19"/>
      <c r="I146" s="18"/>
      <c r="J146" s="18"/>
      <c r="K146" s="18"/>
      <c r="L146" s="18"/>
      <c r="M146" s="32" t="str">
        <f>IF(OR(K146="",L146=""),"",MATCH(K146,Lists!$C$2:$C$5,0)*MATCH(L146,Lists!$D$2:$D$6,0))</f>
        <v/>
      </c>
      <c r="N146" s="32" t="str">
        <f t="shared" si="4"/>
        <v/>
      </c>
      <c r="O146" s="32" t="str">
        <f t="shared" si="5"/>
        <v/>
      </c>
      <c r="P146" s="18"/>
      <c r="Q146" s="18"/>
      <c r="R146" s="18"/>
      <c r="S146" s="18"/>
      <c r="T146" s="18"/>
      <c r="U146" s="18"/>
      <c r="V146" s="35"/>
      <c r="W146" s="19"/>
    </row>
    <row r="147" spans="1:23" ht="148.0" customHeight="true">
      <c r="A147" s="18"/>
      <c r="B147" s="19"/>
      <c r="C147" s="18"/>
      <c r="D147" s="19"/>
      <c r="E147" s="18"/>
      <c r="F147" s="19"/>
      <c r="G147" s="19"/>
      <c r="H147" s="19"/>
      <c r="I147" s="18"/>
      <c r="J147" s="18"/>
      <c r="K147" s="18"/>
      <c r="L147" s="18"/>
      <c r="M147" s="32" t="str">
        <f>IF(OR(K147="",L147=""),"",MATCH(K147,Lists!$C$2:$C$5,0)*MATCH(L147,Lists!$D$2:$D$6,0))</f>
        <v/>
      </c>
      <c r="N147" s="32" t="str">
        <f t="shared" si="4"/>
        <v/>
      </c>
      <c r="O147" s="32" t="str">
        <f t="shared" si="5"/>
        <v/>
      </c>
      <c r="P147" s="18"/>
      <c r="Q147" s="18"/>
      <c r="R147" s="18"/>
      <c r="S147" s="18"/>
      <c r="T147" s="18"/>
      <c r="U147" s="18"/>
      <c r="V147" s="35"/>
      <c r="W147" s="19"/>
    </row>
    <row r="148" spans="1:23" ht="148.0" customHeight="true">
      <c r="A148" s="18"/>
      <c r="B148" s="19"/>
      <c r="C148" s="18"/>
      <c r="D148" s="19"/>
      <c r="E148" s="18"/>
      <c r="F148" s="19"/>
      <c r="G148" s="19"/>
      <c r="H148" s="19"/>
      <c r="I148" s="18"/>
      <c r="J148" s="18"/>
      <c r="K148" s="18"/>
      <c r="L148" s="18"/>
      <c r="M148" s="32" t="str">
        <f>IF(OR(K148="",L148=""),"",MATCH(K148,Lists!$C$2:$C$5,0)*MATCH(L148,Lists!$D$2:$D$6,0))</f>
        <v/>
      </c>
      <c r="N148" s="32" t="str">
        <f t="shared" si="4"/>
        <v/>
      </c>
      <c r="O148" s="32" t="str">
        <f t="shared" si="5"/>
        <v/>
      </c>
      <c r="P148" s="18"/>
      <c r="Q148" s="18"/>
      <c r="R148" s="18"/>
      <c r="S148" s="18"/>
      <c r="T148" s="18"/>
      <c r="U148" s="18"/>
      <c r="V148" s="35"/>
      <c r="W148" s="19"/>
    </row>
    <row r="149" spans="1:23" ht="148.0" customHeight="true">
      <c r="A149" s="18"/>
      <c r="B149" s="19"/>
      <c r="C149" s="18"/>
      <c r="D149" s="19"/>
      <c r="E149" s="18"/>
      <c r="F149" s="19"/>
      <c r="G149" s="19"/>
      <c r="H149" s="19"/>
      <c r="I149" s="18"/>
      <c r="J149" s="18"/>
      <c r="K149" s="18"/>
      <c r="L149" s="18"/>
      <c r="M149" s="32" t="str">
        <f>IF(OR(K149="",L149=""),"",MATCH(K149,Lists!$C$2:$C$5,0)*MATCH(L149,Lists!$D$2:$D$6,0))</f>
        <v/>
      </c>
      <c r="N149" s="32" t="str">
        <f t="shared" si="4"/>
        <v/>
      </c>
      <c r="O149" s="32" t="str">
        <f t="shared" si="5"/>
        <v/>
      </c>
      <c r="P149" s="18"/>
      <c r="Q149" s="18"/>
      <c r="R149" s="18"/>
      <c r="S149" s="18"/>
      <c r="T149" s="18"/>
      <c r="U149" s="18"/>
      <c r="V149" s="35"/>
      <c r="W149" s="19"/>
    </row>
    <row r="150" spans="1:23" ht="148.0" customHeight="true">
      <c r="A150" s="18"/>
      <c r="B150" s="19"/>
      <c r="C150" s="18"/>
      <c r="D150" s="19"/>
      <c r="E150" s="18"/>
      <c r="F150" s="19"/>
      <c r="G150" s="19"/>
      <c r="H150" s="19"/>
      <c r="I150" s="18"/>
      <c r="J150" s="18"/>
      <c r="K150" s="18"/>
      <c r="L150" s="18"/>
      <c r="M150" s="32" t="str">
        <f>IF(OR(K150="",L150=""),"",MATCH(K150,Lists!$C$2:$C$5,0)*MATCH(L150,Lists!$D$2:$D$6,0))</f>
        <v/>
      </c>
      <c r="N150" s="32" t="str">
        <f t="shared" si="4"/>
        <v/>
      </c>
      <c r="O150" s="32" t="str">
        <f t="shared" si="5"/>
        <v/>
      </c>
      <c r="P150" s="18"/>
      <c r="Q150" s="18"/>
      <c r="R150" s="18"/>
      <c r="S150" s="18"/>
      <c r="T150" s="18"/>
      <c r="U150" s="18"/>
      <c r="V150" s="35"/>
      <c r="W150" s="19"/>
    </row>
    <row r="151" spans="1:23" ht="172.0" customHeight="true">
      <c r="A151" s="18"/>
      <c r="B151" s="19"/>
      <c r="C151" s="18"/>
      <c r="D151" s="19"/>
      <c r="E151" s="18"/>
      <c r="F151" s="19"/>
      <c r="G151" s="19"/>
      <c r="H151" s="19"/>
      <c r="I151" s="18"/>
      <c r="J151" s="18"/>
      <c r="K151" s="18"/>
      <c r="L151" s="18"/>
      <c r="M151" s="32" t="str">
        <f>IF(OR(K151="",L151=""),"",MATCH(K151,Lists!$C$2:$C$5,0)*MATCH(L151,Lists!$D$2:$D$6,0))</f>
        <v/>
      </c>
      <c r="N151" s="32" t="str">
        <f t="shared" si="4"/>
        <v/>
      </c>
      <c r="O151" s="32" t="str">
        <f t="shared" si="5"/>
        <v/>
      </c>
      <c r="P151" s="18"/>
      <c r="Q151" s="18"/>
      <c r="R151" s="18"/>
      <c r="S151" s="18"/>
      <c r="T151" s="18"/>
      <c r="U151" s="18"/>
      <c r="V151" s="35"/>
      <c r="W151" s="19"/>
    </row>
    <row r="152" spans="1:23" ht="196.0" customHeight="true">
      <c r="A152" s="18"/>
      <c r="B152" s="19"/>
      <c r="C152" s="18"/>
      <c r="D152" s="19"/>
      <c r="E152" s="18"/>
      <c r="F152" s="19"/>
      <c r="G152" s="19"/>
      <c r="H152" s="19"/>
      <c r="I152" s="18"/>
      <c r="J152" s="18"/>
      <c r="K152" s="18"/>
      <c r="L152" s="18"/>
      <c r="M152" s="32" t="str">
        <f>IF(OR(K152="",L152=""),"",MATCH(K152,Lists!$C$2:$C$5,0)*MATCH(L152,Lists!$D$2:$D$6,0))</f>
        <v/>
      </c>
      <c r="N152" s="32" t="str">
        <f t="shared" si="4"/>
        <v/>
      </c>
      <c r="O152" s="32" t="str">
        <f t="shared" si="5"/>
        <v/>
      </c>
      <c r="P152" s="18"/>
      <c r="Q152" s="18"/>
      <c r="R152" s="18"/>
      <c r="S152" s="18"/>
      <c r="T152" s="18"/>
      <c r="U152" s="18"/>
      <c r="V152" s="35"/>
      <c r="W152" s="19"/>
    </row>
    <row r="153" spans="1:23" ht="160.0" customHeight="true">
      <c r="A153" s="18"/>
      <c r="B153" s="19"/>
      <c r="C153" s="18"/>
      <c r="D153" s="19"/>
      <c r="E153" s="18"/>
      <c r="F153" s="19"/>
      <c r="G153" s="19"/>
      <c r="H153" s="19"/>
      <c r="I153" s="18"/>
      <c r="J153" s="18"/>
      <c r="K153" s="18"/>
      <c r="L153" s="18"/>
      <c r="M153" s="32" t="str">
        <f>IF(OR(K153="",L153=""),"",MATCH(K153,Lists!$C$2:$C$5,0)*MATCH(L153,Lists!$D$2:$D$6,0))</f>
        <v/>
      </c>
      <c r="N153" s="32" t="str">
        <f t="shared" si="4"/>
        <v/>
      </c>
      <c r="O153" s="32" t="str">
        <f t="shared" si="5"/>
        <v/>
      </c>
      <c r="P153" s="18"/>
      <c r="Q153" s="18"/>
      <c r="R153" s="18"/>
      <c r="S153" s="18"/>
      <c r="T153" s="18"/>
      <c r="U153" s="18"/>
      <c r="V153" s="35"/>
      <c r="W153" s="19"/>
    </row>
    <row r="154" spans="1:23" ht="160.0" customHeight="true">
      <c r="A154" s="18"/>
      <c r="B154" s="19"/>
      <c r="C154" s="18"/>
      <c r="D154" s="19"/>
      <c r="E154" s="18"/>
      <c r="F154" s="19"/>
      <c r="G154" s="19"/>
      <c r="H154" s="19"/>
      <c r="I154" s="18"/>
      <c r="J154" s="18"/>
      <c r="K154" s="18"/>
      <c r="L154" s="18"/>
      <c r="M154" s="32" t="str">
        <f>IF(OR(K154="",L154=""),"",MATCH(K154,Lists!$C$2:$C$5,0)*MATCH(L154,Lists!$D$2:$D$6,0))</f>
        <v/>
      </c>
      <c r="N154" s="32" t="str">
        <f t="shared" si="4"/>
        <v/>
      </c>
      <c r="O154" s="32" t="str">
        <f t="shared" si="5"/>
        <v/>
      </c>
      <c r="P154" s="18"/>
      <c r="Q154" s="18"/>
      <c r="R154" s="18"/>
      <c r="S154" s="18"/>
      <c r="T154" s="18"/>
      <c r="U154" s="18"/>
      <c r="V154" s="35"/>
      <c r="W154" s="19"/>
    </row>
    <row r="155" spans="1:23" ht="196.0" customHeight="true">
      <c r="A155" s="18"/>
      <c r="B155" s="19"/>
      <c r="C155" s="18"/>
      <c r="D155" s="19"/>
      <c r="E155" s="18"/>
      <c r="F155" s="19"/>
      <c r="G155" s="19"/>
      <c r="H155" s="19"/>
      <c r="I155" s="18"/>
      <c r="J155" s="18"/>
      <c r="K155" s="18"/>
      <c r="L155" s="18"/>
      <c r="M155" s="32" t="str">
        <f>IF(OR(K155="",L155=""),"",MATCH(K155,Lists!$C$2:$C$5,0)*MATCH(L155,Lists!$D$2:$D$6,0))</f>
        <v/>
      </c>
      <c r="N155" s="32" t="str">
        <f t="shared" si="4"/>
        <v/>
      </c>
      <c r="O155" s="32" t="str">
        <f t="shared" si="5"/>
        <v/>
      </c>
      <c r="P155" s="18"/>
      <c r="Q155" s="18"/>
      <c r="R155" s="18"/>
      <c r="S155" s="18"/>
      <c r="T155" s="18"/>
      <c r="U155" s="18"/>
      <c r="V155" s="35"/>
      <c r="W155" s="19"/>
    </row>
    <row r="156" spans="1:23" ht="112.0" customHeight="true">
      <c r="A156" s="18"/>
      <c r="B156" s="19"/>
      <c r="C156" s="18"/>
      <c r="D156" s="19"/>
      <c r="E156" s="18"/>
      <c r="F156" s="19"/>
      <c r="G156" s="19"/>
      <c r="H156" s="19"/>
      <c r="I156" s="18"/>
      <c r="J156" s="18"/>
      <c r="K156" s="18"/>
      <c r="L156" s="18"/>
      <c r="M156" s="32" t="str">
        <f>IF(OR(K156="",L156=""),"",MATCH(K156,Lists!$C$2:$C$5,0)*MATCH(L156,Lists!$D$2:$D$6,0))</f>
        <v/>
      </c>
      <c r="N156" s="32" t="str">
        <f t="shared" si="4"/>
        <v/>
      </c>
      <c r="O156" s="32" t="str">
        <f t="shared" si="5"/>
        <v/>
      </c>
      <c r="P156" s="18"/>
      <c r="Q156" s="18"/>
      <c r="R156" s="18"/>
      <c r="S156" s="18"/>
      <c r="T156" s="18"/>
      <c r="U156" s="18"/>
      <c r="V156" s="35"/>
      <c r="W156" s="19"/>
    </row>
    <row r="157" spans="1:23" ht="124.0" customHeight="true">
      <c r="A157" s="18"/>
      <c r="B157" s="19"/>
      <c r="C157" s="18"/>
      <c r="D157" s="19"/>
      <c r="E157" s="18"/>
      <c r="F157" s="19"/>
      <c r="G157" s="19"/>
      <c r="H157" s="19"/>
      <c r="I157" s="18"/>
      <c r="J157" s="18"/>
      <c r="K157" s="18"/>
      <c r="L157" s="18"/>
      <c r="M157" s="32" t="str">
        <f>IF(OR(K157="",L157=""),"",MATCH(K157,Lists!$C$2:$C$5,0)*MATCH(L157,Lists!$D$2:$D$6,0))</f>
        <v/>
      </c>
      <c r="N157" s="32" t="str">
        <f t="shared" si="4"/>
        <v/>
      </c>
      <c r="O157" s="32" t="str">
        <f t="shared" si="5"/>
        <v/>
      </c>
      <c r="P157" s="18"/>
      <c r="Q157" s="18"/>
      <c r="R157" s="18"/>
      <c r="S157" s="18"/>
      <c r="T157" s="18"/>
      <c r="U157" s="18"/>
      <c r="V157" s="35"/>
      <c r="W157" s="19"/>
    </row>
    <row r="158" spans="1:23" ht="112.0" customHeight="true">
      <c r="A158" s="18"/>
      <c r="B158" s="19"/>
      <c r="C158" s="18"/>
      <c r="D158" s="19"/>
      <c r="E158" s="18"/>
      <c r="F158" s="19"/>
      <c r="G158" s="19"/>
      <c r="H158" s="19"/>
      <c r="I158" s="18"/>
      <c r="J158" s="18"/>
      <c r="K158" s="18"/>
      <c r="L158" s="18"/>
      <c r="M158" s="32" t="str">
        <f>IF(OR(K158="",L158=""),"",MATCH(K158,Lists!$C$2:$C$5,0)*MATCH(L158,Lists!$D$2:$D$6,0))</f>
        <v/>
      </c>
      <c r="N158" s="32" t="str">
        <f t="shared" si="4"/>
        <v/>
      </c>
      <c r="O158" s="32" t="str">
        <f t="shared" si="5"/>
        <v/>
      </c>
      <c r="P158" s="18"/>
      <c r="Q158" s="18"/>
      <c r="R158" s="18"/>
      <c r="S158" s="18"/>
      <c r="T158" s="18"/>
      <c r="U158" s="18"/>
      <c r="V158" s="35"/>
      <c r="W158" s="19"/>
    </row>
    <row r="159" spans="1:23" ht="124.0" customHeight="true">
      <c r="A159" s="18"/>
      <c r="B159" s="19"/>
      <c r="C159" s="18"/>
      <c r="D159" s="19"/>
      <c r="E159" s="18"/>
      <c r="F159" s="19"/>
      <c r="G159" s="19"/>
      <c r="H159" s="19"/>
      <c r="I159" s="18"/>
      <c r="J159" s="18"/>
      <c r="K159" s="18"/>
      <c r="L159" s="18"/>
      <c r="M159" s="32" t="str">
        <f>IF(OR(K159="",L159=""),"",MATCH(K159,Lists!$C$2:$C$5,0)*MATCH(L159,Lists!$D$2:$D$6,0))</f>
        <v/>
      </c>
      <c r="N159" s="32" t="str">
        <f t="shared" si="4"/>
        <v/>
      </c>
      <c r="O159" s="32" t="str">
        <f t="shared" si="5"/>
        <v/>
      </c>
      <c r="P159" s="18"/>
      <c r="Q159" s="18"/>
      <c r="R159" s="18"/>
      <c r="S159" s="18"/>
      <c r="T159" s="18"/>
      <c r="U159" s="18"/>
      <c r="V159" s="35"/>
      <c r="W159" s="19"/>
    </row>
    <row r="160" spans="1:23" ht="124.0" customHeight="true">
      <c r="A160" s="18"/>
      <c r="B160" s="19"/>
      <c r="C160" s="18"/>
      <c r="D160" s="19"/>
      <c r="E160" s="18"/>
      <c r="F160" s="19"/>
      <c r="G160" s="19"/>
      <c r="H160" s="19"/>
      <c r="I160" s="18"/>
      <c r="J160" s="18"/>
      <c r="K160" s="18"/>
      <c r="L160" s="18"/>
      <c r="M160" s="32" t="str">
        <f>IF(OR(K160="",L160=""),"",MATCH(K160,Lists!$C$2:$C$5,0)*MATCH(L160,Lists!$D$2:$D$6,0))</f>
        <v/>
      </c>
      <c r="N160" s="32" t="str">
        <f t="shared" si="4"/>
        <v/>
      </c>
      <c r="O160" s="32" t="str">
        <f t="shared" si="5"/>
        <v/>
      </c>
      <c r="P160" s="18"/>
      <c r="Q160" s="18"/>
      <c r="R160" s="18"/>
      <c r="S160" s="18"/>
      <c r="T160" s="18"/>
      <c r="U160" s="18"/>
      <c r="V160" s="35"/>
      <c r="W160" s="19"/>
    </row>
    <row r="161" spans="1:23" ht="124.0" customHeight="true">
      <c r="A161" s="18"/>
      <c r="B161" s="19"/>
      <c r="C161" s="18"/>
      <c r="D161" s="19"/>
      <c r="E161" s="18"/>
      <c r="F161" s="19"/>
      <c r="G161" s="19"/>
      <c r="H161" s="19"/>
      <c r="I161" s="18"/>
      <c r="J161" s="18"/>
      <c r="K161" s="18"/>
      <c r="L161" s="18"/>
      <c r="M161" s="32" t="str">
        <f>IF(OR(K161="",L161=""),"",MATCH(K161,Lists!$C$2:$C$5,0)*MATCH(L161,Lists!$D$2:$D$6,0))</f>
        <v/>
      </c>
      <c r="N161" s="32" t="str">
        <f t="shared" si="4"/>
        <v/>
      </c>
      <c r="O161" s="32" t="str">
        <f t="shared" si="5"/>
        <v/>
      </c>
      <c r="P161" s="18"/>
      <c r="Q161" s="18"/>
      <c r="R161" s="18"/>
      <c r="S161" s="18"/>
      <c r="T161" s="18"/>
      <c r="U161" s="18"/>
      <c r="V161" s="35"/>
      <c r="W161" s="19"/>
    </row>
    <row r="162" spans="1:23" ht="124.0" customHeight="true">
      <c r="A162" s="18"/>
      <c r="B162" s="19"/>
      <c r="C162" s="18"/>
      <c r="D162" s="19"/>
      <c r="E162" s="18"/>
      <c r="F162" s="19"/>
      <c r="G162" s="19"/>
      <c r="H162" s="19"/>
      <c r="I162" s="18"/>
      <c r="J162" s="18"/>
      <c r="K162" s="18"/>
      <c r="L162" s="18"/>
      <c r="M162" s="32" t="str">
        <f>IF(OR(K162="",L162=""),"",MATCH(K162,Lists!$C$2:$C$5,0)*MATCH(L162,Lists!$D$2:$D$6,0))</f>
        <v/>
      </c>
      <c r="N162" s="32" t="str">
        <f t="shared" si="4"/>
        <v/>
      </c>
      <c r="O162" s="32" t="str">
        <f t="shared" si="5"/>
        <v/>
      </c>
      <c r="P162" s="18"/>
      <c r="Q162" s="18"/>
      <c r="R162" s="18"/>
      <c r="S162" s="18"/>
      <c r="T162" s="18"/>
      <c r="U162" s="18"/>
      <c r="V162" s="35"/>
      <c r="W162" s="19"/>
    </row>
    <row r="163" spans="1:23" ht="148.0" customHeight="true">
      <c r="A163" s="18"/>
      <c r="B163" s="19"/>
      <c r="C163" s="18"/>
      <c r="D163" s="19"/>
      <c r="E163" s="18"/>
      <c r="F163" s="19"/>
      <c r="G163" s="19"/>
      <c r="H163" s="19"/>
      <c r="I163" s="18"/>
      <c r="J163" s="18"/>
      <c r="K163" s="18"/>
      <c r="L163" s="18"/>
      <c r="M163" s="32" t="str">
        <f>IF(OR(K163="",L163=""),"",MATCH(K163,Lists!$C$2:$C$5,0)*MATCH(L163,Lists!$D$2:$D$6,0))</f>
        <v/>
      </c>
      <c r="N163" s="32" t="str">
        <f t="shared" si="4"/>
        <v/>
      </c>
      <c r="O163" s="32" t="str">
        <f t="shared" si="5"/>
        <v/>
      </c>
      <c r="P163" s="18"/>
      <c r="Q163" s="18"/>
      <c r="R163" s="18"/>
      <c r="S163" s="18"/>
      <c r="T163" s="18"/>
      <c r="U163" s="18"/>
      <c r="V163" s="35"/>
      <c r="W163" s="19"/>
    </row>
    <row r="164" spans="1:23" ht="148.0" customHeight="true">
      <c r="A164" s="18"/>
      <c r="B164" s="19"/>
      <c r="C164" s="18"/>
      <c r="D164" s="19"/>
      <c r="E164" s="18"/>
      <c r="F164" s="19"/>
      <c r="G164" s="19"/>
      <c r="H164" s="19"/>
      <c r="I164" s="18"/>
      <c r="J164" s="18"/>
      <c r="K164" s="18"/>
      <c r="L164" s="18"/>
      <c r="M164" s="32" t="str">
        <f>IF(OR(K164="",L164=""),"",MATCH(K164,Lists!$C$2:$C$5,0)*MATCH(L164,Lists!$D$2:$D$6,0))</f>
        <v/>
      </c>
      <c r="N164" s="32" t="str">
        <f t="shared" si="4"/>
        <v/>
      </c>
      <c r="O164" s="32" t="str">
        <f t="shared" si="5"/>
        <v/>
      </c>
      <c r="P164" s="18"/>
      <c r="Q164" s="18"/>
      <c r="R164" s="18"/>
      <c r="S164" s="18"/>
      <c r="T164" s="18"/>
      <c r="U164" s="18"/>
      <c r="V164" s="35"/>
      <c r="W164" s="19"/>
    </row>
    <row r="165" spans="1:23" ht="124.0" customHeight="true">
      <c r="A165" s="18"/>
      <c r="B165" s="19"/>
      <c r="C165" s="18"/>
      <c r="D165" s="19"/>
      <c r="E165" s="18"/>
      <c r="F165" s="19"/>
      <c r="G165" s="19"/>
      <c r="H165" s="19"/>
      <c r="I165" s="18"/>
      <c r="J165" s="18"/>
      <c r="K165" s="18"/>
      <c r="L165" s="18"/>
      <c r="M165" s="32" t="str">
        <f>IF(OR(K165="",L165=""),"",MATCH(K165,Lists!$C$2:$C$5,0)*MATCH(L165,Lists!$D$2:$D$6,0))</f>
        <v/>
      </c>
      <c r="N165" s="32" t="str">
        <f t="shared" si="4"/>
        <v/>
      </c>
      <c r="O165" s="32" t="str">
        <f t="shared" si="5"/>
        <v/>
      </c>
      <c r="P165" s="18"/>
      <c r="Q165" s="18"/>
      <c r="R165" s="18"/>
      <c r="S165" s="18"/>
      <c r="T165" s="18"/>
      <c r="U165" s="18"/>
      <c r="V165" s="35"/>
      <c r="W165" s="19"/>
    </row>
    <row r="166" spans="1:23" ht="124.0" customHeight="true">
      <c r="A166" s="18"/>
      <c r="B166" s="19"/>
      <c r="C166" s="18"/>
      <c r="D166" s="19"/>
      <c r="E166" s="18"/>
      <c r="F166" s="19"/>
      <c r="G166" s="19"/>
      <c r="H166" s="19"/>
      <c r="I166" s="18"/>
      <c r="J166" s="18"/>
      <c r="K166" s="18"/>
      <c r="L166" s="18"/>
      <c r="M166" s="32" t="str">
        <f>IF(OR(K166="",L166=""),"",MATCH(K166,Lists!$C$2:$C$5,0)*MATCH(L166,Lists!$D$2:$D$6,0))</f>
        <v/>
      </c>
      <c r="N166" s="32" t="str">
        <f t="shared" si="4"/>
        <v/>
      </c>
      <c r="O166" s="32" t="str">
        <f t="shared" si="5"/>
        <v/>
      </c>
      <c r="P166" s="18"/>
      <c r="Q166" s="18"/>
      <c r="R166" s="18"/>
      <c r="S166" s="18"/>
      <c r="T166" s="18"/>
      <c r="U166" s="18"/>
      <c r="V166" s="35"/>
      <c r="W166" s="19"/>
    </row>
    <row r="167" spans="1:23" ht="112.0" customHeight="true">
      <c r="A167" s="18"/>
      <c r="B167" s="19"/>
      <c r="C167" s="18"/>
      <c r="D167" s="19"/>
      <c r="E167" s="18"/>
      <c r="F167" s="19"/>
      <c r="G167" s="19"/>
      <c r="H167" s="19"/>
      <c r="I167" s="18"/>
      <c r="J167" s="18"/>
      <c r="K167" s="18"/>
      <c r="L167" s="18"/>
      <c r="M167" s="32" t="str">
        <f>IF(OR(K167="",L167=""),"",MATCH(K167,Lists!$C$2:$C$5,0)*MATCH(L167,Lists!$D$2:$D$6,0))</f>
        <v/>
      </c>
      <c r="N167" s="32" t="str">
        <f t="shared" si="4"/>
        <v/>
      </c>
      <c r="O167" s="32" t="str">
        <f t="shared" si="5"/>
        <v/>
      </c>
      <c r="P167" s="18"/>
      <c r="Q167" s="18"/>
      <c r="R167" s="18"/>
      <c r="S167" s="18"/>
      <c r="T167" s="18"/>
      <c r="U167" s="18"/>
      <c r="V167" s="35"/>
      <c r="W167" s="19"/>
    </row>
    <row r="168" spans="1:23" ht="100.0" customHeight="true">
      <c r="A168" s="18"/>
      <c r="B168" s="19"/>
      <c r="C168" s="18"/>
      <c r="D168" s="19"/>
      <c r="E168" s="18"/>
      <c r="F168" s="19"/>
      <c r="G168" s="19"/>
      <c r="H168" s="19"/>
      <c r="I168" s="18"/>
      <c r="J168" s="18"/>
      <c r="K168" s="18"/>
      <c r="L168" s="18"/>
      <c r="M168" s="32" t="str">
        <f>IF(OR(K168="",L168=""),"",MATCH(K168,Lists!$C$2:$C$5,0)*MATCH(L168,Lists!$D$2:$D$6,0))</f>
        <v/>
      </c>
      <c r="N168" s="32" t="str">
        <f t="shared" si="4"/>
        <v/>
      </c>
      <c r="O168" s="32" t="str">
        <f t="shared" si="5"/>
        <v/>
      </c>
      <c r="P168" s="18"/>
      <c r="Q168" s="18"/>
      <c r="R168" s="18"/>
      <c r="S168" s="18"/>
      <c r="T168" s="18"/>
      <c r="U168" s="18"/>
      <c r="V168" s="35"/>
      <c r="W168" s="19"/>
    </row>
    <row r="169" spans="1:23" ht="136.0" customHeight="true">
      <c r="A169" s="18"/>
      <c r="B169" s="19"/>
      <c r="C169" s="18"/>
      <c r="D169" s="19"/>
      <c r="E169" s="18"/>
      <c r="F169" s="19"/>
      <c r="G169" s="19"/>
      <c r="H169" s="19"/>
      <c r="I169" s="18"/>
      <c r="J169" s="18"/>
      <c r="K169" s="18"/>
      <c r="L169" s="18"/>
      <c r="M169" s="32" t="str">
        <f>IF(OR(K169="",L169=""),"",MATCH(K169,Lists!$C$2:$C$5,0)*MATCH(L169,Lists!$D$2:$D$6,0))</f>
        <v/>
      </c>
      <c r="N169" s="32" t="str">
        <f t="shared" si="4"/>
        <v/>
      </c>
      <c r="O169" s="32" t="str">
        <f t="shared" si="5"/>
        <v/>
      </c>
      <c r="P169" s="18"/>
      <c r="Q169" s="18"/>
      <c r="R169" s="18"/>
      <c r="S169" s="18"/>
      <c r="T169" s="18"/>
      <c r="U169" s="18"/>
      <c r="V169" s="35"/>
      <c r="W169" s="19"/>
    </row>
    <row r="170" spans="1:23" ht="148.0" customHeight="true">
      <c r="A170" s="18"/>
      <c r="B170" s="19"/>
      <c r="C170" s="18"/>
      <c r="D170" s="19"/>
      <c r="E170" s="18"/>
      <c r="F170" s="19"/>
      <c r="G170" s="19"/>
      <c r="H170" s="19"/>
      <c r="I170" s="18"/>
      <c r="J170" s="18"/>
      <c r="K170" s="18"/>
      <c r="L170" s="18"/>
      <c r="M170" s="32" t="str">
        <f>IF(OR(K170="",L170=""),"",MATCH(K170,Lists!$C$2:$C$5,0)*MATCH(L170,Lists!$D$2:$D$6,0))</f>
        <v/>
      </c>
      <c r="N170" s="32" t="str">
        <f t="shared" si="4"/>
        <v/>
      </c>
      <c r="O170" s="32" t="str">
        <f t="shared" si="5"/>
        <v/>
      </c>
      <c r="P170" s="18"/>
      <c r="Q170" s="18"/>
      <c r="R170" s="18"/>
      <c r="S170" s="18"/>
      <c r="T170" s="18"/>
      <c r="U170" s="18"/>
      <c r="V170" s="35"/>
      <c r="W170" s="19"/>
    </row>
    <row r="171" spans="1:23" ht="124.0" customHeight="true">
      <c r="A171" s="18"/>
      <c r="B171" s="19"/>
      <c r="C171" s="18"/>
      <c r="D171" s="19"/>
      <c r="E171" s="18"/>
      <c r="F171" s="19"/>
      <c r="G171" s="19"/>
      <c r="H171" s="19"/>
      <c r="I171" s="18"/>
      <c r="J171" s="18"/>
      <c r="K171" s="18"/>
      <c r="L171" s="18"/>
      <c r="M171" s="32" t="str">
        <f>IF(OR(K171="",L171=""),"",MATCH(K171,Lists!$C$2:$C$5,0)*MATCH(L171,Lists!$D$2:$D$6,0))</f>
        <v/>
      </c>
      <c r="N171" s="32" t="str">
        <f t="shared" si="4"/>
        <v/>
      </c>
      <c r="O171" s="32" t="str">
        <f t="shared" si="5"/>
        <v/>
      </c>
      <c r="P171" s="18"/>
      <c r="Q171" s="18"/>
      <c r="R171" s="18"/>
      <c r="S171" s="18"/>
      <c r="T171" s="18"/>
      <c r="U171" s="18"/>
      <c r="V171" s="35"/>
      <c r="W171" s="19"/>
    </row>
    <row r="172" spans="1:23" ht="124.0" customHeight="true">
      <c r="A172" s="18"/>
      <c r="B172" s="19"/>
      <c r="C172" s="18"/>
      <c r="D172" s="19"/>
      <c r="E172" s="18"/>
      <c r="F172" s="19"/>
      <c r="G172" s="19"/>
      <c r="H172" s="19"/>
      <c r="I172" s="18"/>
      <c r="J172" s="18"/>
      <c r="K172" s="18"/>
      <c r="L172" s="18"/>
      <c r="M172" s="32" t="str">
        <f>IF(OR(K172="",L172=""),"",MATCH(K172,Lists!$C$2:$C$5,0)*MATCH(L172,Lists!$D$2:$D$6,0))</f>
        <v/>
      </c>
      <c r="N172" s="32" t="str">
        <f t="shared" si="4"/>
        <v/>
      </c>
      <c r="O172" s="32" t="str">
        <f t="shared" si="5"/>
        <v/>
      </c>
      <c r="P172" s="18"/>
      <c r="Q172" s="18"/>
      <c r="R172" s="18"/>
      <c r="S172" s="18"/>
      <c r="T172" s="18"/>
      <c r="U172" s="18"/>
      <c r="V172" s="35"/>
      <c r="W172" s="19"/>
    </row>
    <row r="173" spans="1:23" ht="136.0" customHeight="true">
      <c r="A173" s="18"/>
      <c r="B173" s="19"/>
      <c r="C173" s="18"/>
      <c r="D173" s="19"/>
      <c r="E173" s="18"/>
      <c r="F173" s="19"/>
      <c r="G173" s="19"/>
      <c r="H173" s="19"/>
      <c r="I173" s="18"/>
      <c r="J173" s="18"/>
      <c r="K173" s="18"/>
      <c r="L173" s="18"/>
      <c r="M173" s="32" t="str">
        <f>IF(OR(K173="",L173=""),"",MATCH(K173,Lists!$C$2:$C$5,0)*MATCH(L173,Lists!$D$2:$D$6,0))</f>
        <v/>
      </c>
      <c r="N173" s="32" t="str">
        <f t="shared" si="4"/>
        <v/>
      </c>
      <c r="O173" s="32" t="str">
        <f t="shared" si="5"/>
        <v/>
      </c>
      <c r="P173" s="18"/>
      <c r="Q173" s="18"/>
      <c r="R173" s="18"/>
      <c r="S173" s="18"/>
      <c r="T173" s="18"/>
      <c r="U173" s="18"/>
      <c r="V173" s="35"/>
      <c r="W173" s="19"/>
    </row>
    <row r="174" spans="1:23" ht="148.0" customHeight="true">
      <c r="A174" s="18"/>
      <c r="B174" s="19"/>
      <c r="C174" s="18"/>
      <c r="D174" s="19"/>
      <c r="E174" s="18"/>
      <c r="F174" s="19"/>
      <c r="G174" s="19"/>
      <c r="H174" s="19"/>
      <c r="I174" s="18"/>
      <c r="J174" s="18"/>
      <c r="K174" s="18"/>
      <c r="L174" s="18"/>
      <c r="M174" s="32" t="str">
        <f>IF(OR(K174="",L174=""),"",MATCH(K174,Lists!$C$2:$C$5,0)*MATCH(L174,Lists!$D$2:$D$6,0))</f>
        <v/>
      </c>
      <c r="N174" s="32" t="str">
        <f t="shared" si="4"/>
        <v/>
      </c>
      <c r="O174" s="32" t="str">
        <f t="shared" si="5"/>
        <v/>
      </c>
      <c r="P174" s="18"/>
      <c r="Q174" s="18"/>
      <c r="R174" s="18"/>
      <c r="S174" s="18"/>
      <c r="T174" s="18"/>
      <c r="U174" s="18"/>
      <c r="V174" s="35"/>
      <c r="W174" s="19"/>
    </row>
    <row r="175" spans="1:23" ht="148.0" customHeight="true">
      <c r="A175" s="18"/>
      <c r="B175" s="19"/>
      <c r="C175" s="18"/>
      <c r="D175" s="19"/>
      <c r="E175" s="18"/>
      <c r="F175" s="19"/>
      <c r="G175" s="19"/>
      <c r="H175" s="19"/>
      <c r="I175" s="18"/>
      <c r="J175" s="18"/>
      <c r="K175" s="18"/>
      <c r="L175" s="18"/>
      <c r="M175" s="32" t="str">
        <f>IF(OR(K175="",L175=""),"",MATCH(K175,Lists!$C$2:$C$5,0)*MATCH(L175,Lists!$D$2:$D$6,0))</f>
        <v/>
      </c>
      <c r="N175" s="32" t="str">
        <f t="shared" si="4"/>
        <v/>
      </c>
      <c r="O175" s="32" t="str">
        <f t="shared" si="5"/>
        <v/>
      </c>
      <c r="P175" s="18"/>
      <c r="Q175" s="18"/>
      <c r="R175" s="18"/>
      <c r="S175" s="18"/>
      <c r="T175" s="18"/>
      <c r="U175" s="18"/>
      <c r="V175" s="35"/>
      <c r="W175" s="19"/>
    </row>
    <row r="176" spans="1:23" ht="136.0" customHeight="true">
      <c r="A176" s="18"/>
      <c r="B176" s="19"/>
      <c r="C176" s="18"/>
      <c r="D176" s="19"/>
      <c r="E176" s="18"/>
      <c r="F176" s="19"/>
      <c r="G176" s="19"/>
      <c r="H176" s="19"/>
      <c r="I176" s="18"/>
      <c r="J176" s="18"/>
      <c r="K176" s="18"/>
      <c r="L176" s="18"/>
      <c r="M176" s="32" t="str">
        <f>IF(OR(K176="",L176=""),"",MATCH(K176,Lists!$C$2:$C$5,0)*MATCH(L176,Lists!$D$2:$D$6,0))</f>
        <v/>
      </c>
      <c r="N176" s="32" t="str">
        <f t="shared" si="4"/>
        <v/>
      </c>
      <c r="O176" s="32" t="str">
        <f t="shared" si="5"/>
        <v/>
      </c>
      <c r="P176" s="18"/>
      <c r="Q176" s="18"/>
      <c r="R176" s="18"/>
      <c r="S176" s="18"/>
      <c r="T176" s="18"/>
      <c r="U176" s="18"/>
      <c r="V176" s="35"/>
      <c r="W176" s="19"/>
    </row>
    <row r="177" spans="1:23" ht="124.0" customHeight="true">
      <c r="A177" s="18"/>
      <c r="B177" s="19"/>
      <c r="C177" s="18"/>
      <c r="D177" s="19"/>
      <c r="E177" s="18"/>
      <c r="F177" s="19"/>
      <c r="G177" s="19"/>
      <c r="H177" s="19"/>
      <c r="I177" s="18"/>
      <c r="J177" s="18"/>
      <c r="K177" s="18"/>
      <c r="L177" s="18"/>
      <c r="M177" s="32" t="str">
        <f>IF(OR(K177="",L177=""),"",MATCH(K177,Lists!$C$2:$C$5,0)*MATCH(L177,Lists!$D$2:$D$6,0))</f>
        <v/>
      </c>
      <c r="N177" s="32" t="str">
        <f t="shared" si="4"/>
        <v/>
      </c>
      <c r="O177" s="32" t="str">
        <f t="shared" si="5"/>
        <v/>
      </c>
      <c r="P177" s="18"/>
      <c r="Q177" s="18"/>
      <c r="R177" s="18"/>
      <c r="S177" s="18"/>
      <c r="T177" s="18"/>
      <c r="U177" s="18"/>
      <c r="V177" s="35"/>
      <c r="W177" s="19"/>
    </row>
    <row r="178" spans="1:23" ht="112.0" customHeight="true">
      <c r="A178" s="18"/>
      <c r="B178" s="19"/>
      <c r="C178" s="18"/>
      <c r="D178" s="19"/>
      <c r="E178" s="18"/>
      <c r="F178" s="19"/>
      <c r="G178" s="19"/>
      <c r="H178" s="19"/>
      <c r="I178" s="18"/>
      <c r="J178" s="18"/>
      <c r="K178" s="18"/>
      <c r="L178" s="18"/>
      <c r="M178" s="32" t="str">
        <f>IF(OR(K178="",L178=""),"",MATCH(K178,Lists!$C$2:$C$5,0)*MATCH(L178,Lists!$D$2:$D$6,0))</f>
        <v/>
      </c>
      <c r="N178" s="32" t="str">
        <f t="shared" si="4"/>
        <v/>
      </c>
      <c r="O178" s="32" t="str">
        <f t="shared" si="5"/>
        <v/>
      </c>
      <c r="P178" s="18"/>
      <c r="Q178" s="18"/>
      <c r="R178" s="18"/>
      <c r="S178" s="18"/>
      <c r="T178" s="18"/>
      <c r="U178" s="18"/>
      <c r="V178" s="35"/>
      <c r="W178" s="19"/>
    </row>
    <row r="179" spans="1:23" ht="136.0" customHeight="true">
      <c r="A179" s="18"/>
      <c r="B179" s="19"/>
      <c r="C179" s="18"/>
      <c r="D179" s="19"/>
      <c r="E179" s="18"/>
      <c r="F179" s="19"/>
      <c r="G179" s="19"/>
      <c r="H179" s="19"/>
      <c r="I179" s="18"/>
      <c r="J179" s="18"/>
      <c r="K179" s="18"/>
      <c r="L179" s="18"/>
      <c r="M179" s="32" t="str">
        <f>IF(OR(K179="",L179=""),"",MATCH(K179,Lists!$C$2:$C$5,0)*MATCH(L179,Lists!$D$2:$D$6,0))</f>
        <v/>
      </c>
      <c r="N179" s="32" t="str">
        <f t="shared" si="4"/>
        <v/>
      </c>
      <c r="O179" s="32" t="str">
        <f t="shared" si="5"/>
        <v/>
      </c>
      <c r="P179" s="18"/>
      <c r="Q179" s="18"/>
      <c r="R179" s="18"/>
      <c r="S179" s="18"/>
      <c r="T179" s="18"/>
      <c r="U179" s="18"/>
      <c r="V179" s="35"/>
      <c r="W179" s="19"/>
    </row>
    <row r="180" spans="1:23" ht="100.0" customHeight="true">
      <c r="A180" s="18"/>
      <c r="B180" s="19"/>
      <c r="C180" s="18"/>
      <c r="D180" s="19"/>
      <c r="E180" s="18"/>
      <c r="F180" s="19"/>
      <c r="G180" s="19"/>
      <c r="H180" s="19"/>
      <c r="I180" s="18"/>
      <c r="J180" s="18"/>
      <c r="K180" s="18"/>
      <c r="L180" s="18"/>
      <c r="M180" s="32" t="str">
        <f>IF(OR(K180="",L180=""),"",MATCH(K180,Lists!$C$2:$C$5,0)*MATCH(L180,Lists!$D$2:$D$6,0))</f>
        <v/>
      </c>
      <c r="N180" s="32" t="str">
        <f t="shared" si="4"/>
        <v/>
      </c>
      <c r="O180" s="32" t="str">
        <f t="shared" si="5"/>
        <v/>
      </c>
      <c r="P180" s="18"/>
      <c r="Q180" s="18"/>
      <c r="R180" s="18"/>
      <c r="S180" s="18"/>
      <c r="T180" s="18"/>
      <c r="U180" s="18"/>
      <c r="V180" s="35"/>
      <c r="W180" s="19"/>
    </row>
    <row r="181" spans="1:23" ht="100.0" customHeight="true">
      <c r="A181" s="18"/>
      <c r="B181" s="19"/>
      <c r="C181" s="18"/>
      <c r="D181" s="19"/>
      <c r="E181" s="18"/>
      <c r="F181" s="19"/>
      <c r="G181" s="19"/>
      <c r="H181" s="19"/>
      <c r="I181" s="18"/>
      <c r="J181" s="18"/>
      <c r="K181" s="18"/>
      <c r="L181" s="18"/>
      <c r="M181" s="32" t="str">
        <f>IF(OR(K181="",L181=""),"",MATCH(K181,Lists!$C$2:$C$5,0)*MATCH(L181,Lists!$D$2:$D$6,0))</f>
        <v/>
      </c>
      <c r="N181" s="32" t="str">
        <f t="shared" si="4"/>
        <v/>
      </c>
      <c r="O181" s="32" t="str">
        <f t="shared" si="5"/>
        <v/>
      </c>
      <c r="P181" s="18"/>
      <c r="Q181" s="18"/>
      <c r="R181" s="18"/>
      <c r="S181" s="18"/>
      <c r="T181" s="18"/>
      <c r="U181" s="18"/>
      <c r="V181" s="35"/>
      <c r="W181" s="19"/>
    </row>
    <row r="182" spans="1:23" ht="136.0" customHeight="true">
      <c r="A182" s="18"/>
      <c r="B182" s="19"/>
      <c r="C182" s="18"/>
      <c r="D182" s="19"/>
      <c r="E182" s="18"/>
      <c r="F182" s="19"/>
      <c r="G182" s="19"/>
      <c r="H182" s="19"/>
      <c r="I182" s="18"/>
      <c r="J182" s="18"/>
      <c r="K182" s="18"/>
      <c r="L182" s="18"/>
      <c r="M182" s="32" t="str">
        <f>IF(OR(K182="",L182=""),"",MATCH(K182,Lists!$C$2:$C$5,0)*MATCH(L182,Lists!$D$2:$D$6,0))</f>
        <v/>
      </c>
      <c r="N182" s="32" t="str">
        <f t="shared" si="4"/>
        <v/>
      </c>
      <c r="O182" s="32" t="str">
        <f t="shared" si="5"/>
        <v/>
      </c>
      <c r="P182" s="18"/>
      <c r="Q182" s="18"/>
      <c r="R182" s="18"/>
      <c r="S182" s="18"/>
      <c r="T182" s="18"/>
      <c r="U182" s="18"/>
      <c r="V182" s="35"/>
      <c r="W182" s="19"/>
    </row>
    <row r="183" spans="1:23" ht="148.0" customHeight="true">
      <c r="A183" s="18"/>
      <c r="B183" s="19"/>
      <c r="C183" s="18"/>
      <c r="D183" s="19"/>
      <c r="E183" s="18"/>
      <c r="F183" s="19"/>
      <c r="G183" s="19"/>
      <c r="H183" s="19"/>
      <c r="I183" s="18"/>
      <c r="J183" s="18"/>
      <c r="K183" s="18"/>
      <c r="L183" s="18"/>
      <c r="M183" s="32" t="str">
        <f>IF(OR(K183="",L183=""),"",MATCH(K183,Lists!$C$2:$C$5,0)*MATCH(L183,Lists!$D$2:$D$6,0))</f>
        <v/>
      </c>
      <c r="N183" s="32" t="str">
        <f t="shared" si="4"/>
        <v/>
      </c>
      <c r="O183" s="32" t="str">
        <f t="shared" si="5"/>
        <v/>
      </c>
      <c r="P183" s="18"/>
      <c r="Q183" s="18"/>
      <c r="R183" s="18"/>
      <c r="S183" s="18"/>
      <c r="T183" s="18"/>
      <c r="U183" s="18"/>
      <c r="V183" s="35"/>
      <c r="W183" s="19"/>
    </row>
    <row r="184" spans="1:23" ht="136.0" customHeight="true">
      <c r="A184" s="18"/>
      <c r="B184" s="19"/>
      <c r="C184" s="18"/>
      <c r="D184" s="19"/>
      <c r="E184" s="18"/>
      <c r="F184" s="19"/>
      <c r="G184" s="19"/>
      <c r="H184" s="19"/>
      <c r="I184" s="18"/>
      <c r="J184" s="18"/>
      <c r="K184" s="18"/>
      <c r="L184" s="18"/>
      <c r="M184" s="32" t="str">
        <f>IF(OR(K184="",L184=""),"",MATCH(K184,Lists!$C$2:$C$5,0)*MATCH(L184,Lists!$D$2:$D$6,0))</f>
        <v/>
      </c>
      <c r="N184" s="32" t="str">
        <f t="shared" si="4"/>
        <v/>
      </c>
      <c r="O184" s="32" t="str">
        <f t="shared" si="5"/>
        <v/>
      </c>
      <c r="P184" s="18"/>
      <c r="Q184" s="18"/>
      <c r="R184" s="18"/>
      <c r="S184" s="18"/>
      <c r="T184" s="18"/>
      <c r="U184" s="18"/>
      <c r="V184" s="35"/>
      <c r="W184" s="19"/>
    </row>
    <row r="185" spans="1:23" ht="100.0" customHeight="true">
      <c r="A185" s="18"/>
      <c r="B185" s="19"/>
      <c r="C185" s="18"/>
      <c r="D185" s="19"/>
      <c r="E185" s="18"/>
      <c r="F185" s="19"/>
      <c r="G185" s="19"/>
      <c r="H185" s="19"/>
      <c r="I185" s="18"/>
      <c r="J185" s="18"/>
      <c r="K185" s="18"/>
      <c r="L185" s="18"/>
      <c r="M185" s="32" t="str">
        <f>IF(OR(K185="",L185=""),"",MATCH(K185,Lists!$C$2:$C$5,0)*MATCH(L185,Lists!$D$2:$D$6,0))</f>
        <v/>
      </c>
      <c r="N185" s="32" t="str">
        <f t="shared" si="4"/>
        <v/>
      </c>
      <c r="O185" s="32" t="str">
        <f t="shared" si="5"/>
        <v/>
      </c>
      <c r="P185" s="18"/>
      <c r="Q185" s="18"/>
      <c r="R185" s="18"/>
      <c r="S185" s="18"/>
      <c r="T185" s="18"/>
      <c r="U185" s="18"/>
      <c r="V185" s="35"/>
      <c r="W185" s="19"/>
    </row>
    <row r="186" spans="1:23" ht="100.0" customHeight="true">
      <c r="A186" s="18"/>
      <c r="B186" s="19"/>
      <c r="C186" s="18"/>
      <c r="D186" s="19"/>
      <c r="E186" s="18"/>
      <c r="F186" s="19"/>
      <c r="G186" s="19"/>
      <c r="H186" s="19"/>
      <c r="I186" s="18"/>
      <c r="J186" s="18"/>
      <c r="K186" s="18"/>
      <c r="L186" s="18"/>
      <c r="M186" s="32" t="str">
        <f>IF(OR(K186="",L186=""),"",MATCH(K186,Lists!$C$2:$C$5,0)*MATCH(L186,Lists!$D$2:$D$6,0))</f>
        <v/>
      </c>
      <c r="N186" s="32" t="str">
        <f t="shared" si="4"/>
        <v/>
      </c>
      <c r="O186" s="32" t="str">
        <f t="shared" si="5"/>
        <v/>
      </c>
      <c r="P186" s="18"/>
      <c r="Q186" s="18"/>
      <c r="R186" s="18"/>
      <c r="S186" s="18"/>
      <c r="T186" s="18"/>
      <c r="U186" s="18"/>
      <c r="V186" s="35"/>
      <c r="W186" s="19"/>
    </row>
    <row r="187" spans="1:23" ht="136.0" customHeight="true">
      <c r="A187" s="18"/>
      <c r="B187" s="19"/>
      <c r="C187" s="18"/>
      <c r="D187" s="19"/>
      <c r="E187" s="18"/>
      <c r="F187" s="19"/>
      <c r="G187" s="19"/>
      <c r="H187" s="19"/>
      <c r="I187" s="18"/>
      <c r="J187" s="18"/>
      <c r="K187" s="18"/>
      <c r="L187" s="18"/>
      <c r="M187" s="32" t="str">
        <f>IF(OR(K187="",L187=""),"",MATCH(K187,Lists!$C$2:$C$5,0)*MATCH(L187,Lists!$D$2:$D$6,0))</f>
        <v/>
      </c>
      <c r="N187" s="32" t="str">
        <f t="shared" si="4"/>
        <v/>
      </c>
      <c r="O187" s="32" t="str">
        <f t="shared" si="5"/>
        <v/>
      </c>
      <c r="P187" s="18"/>
      <c r="Q187" s="18"/>
      <c r="R187" s="18"/>
      <c r="S187" s="18"/>
      <c r="T187" s="18"/>
      <c r="U187" s="18"/>
      <c r="V187" s="35"/>
      <c r="W187" s="19"/>
    </row>
    <row r="188" spans="1:23" ht="148.0" customHeight="true">
      <c r="A188" s="18"/>
      <c r="B188" s="19"/>
      <c r="C188" s="18"/>
      <c r="D188" s="19"/>
      <c r="E188" s="18"/>
      <c r="F188" s="19"/>
      <c r="G188" s="19"/>
      <c r="H188" s="19"/>
      <c r="I188" s="18"/>
      <c r="J188" s="18"/>
      <c r="K188" s="18"/>
      <c r="L188" s="18"/>
      <c r="M188" s="32" t="str">
        <f>IF(OR(K188="",L188=""),"",MATCH(K188,Lists!$C$2:$C$5,0)*MATCH(L188,Lists!$D$2:$D$6,0))</f>
        <v/>
      </c>
      <c r="N188" s="32" t="str">
        <f t="shared" si="4"/>
        <v/>
      </c>
      <c r="O188" s="32" t="str">
        <f t="shared" si="5"/>
        <v/>
      </c>
      <c r="P188" s="18"/>
      <c r="Q188" s="18"/>
      <c r="R188" s="18"/>
      <c r="S188" s="18"/>
      <c r="T188" s="18"/>
      <c r="U188" s="18"/>
      <c r="V188" s="35"/>
      <c r="W188" s="19"/>
    </row>
    <row r="189" spans="1:23" ht="148.0" customHeight="true">
      <c r="A189" s="18"/>
      <c r="B189" s="19"/>
      <c r="C189" s="18"/>
      <c r="D189" s="19"/>
      <c r="E189" s="18"/>
      <c r="F189" s="19"/>
      <c r="G189" s="19"/>
      <c r="H189" s="19"/>
      <c r="I189" s="18"/>
      <c r="J189" s="18"/>
      <c r="K189" s="18"/>
      <c r="L189" s="18"/>
      <c r="M189" s="32" t="str">
        <f>IF(OR(K189="",L189=""),"",MATCH(K189,Lists!$C$2:$C$5,0)*MATCH(L189,Lists!$D$2:$D$6,0))</f>
        <v/>
      </c>
      <c r="N189" s="32" t="str">
        <f t="shared" si="4"/>
        <v/>
      </c>
      <c r="O189" s="32" t="str">
        <f t="shared" si="5"/>
        <v/>
      </c>
      <c r="P189" s="18"/>
      <c r="Q189" s="18"/>
      <c r="R189" s="18"/>
      <c r="S189" s="18"/>
      <c r="T189" s="18"/>
      <c r="U189" s="18"/>
      <c r="V189" s="35"/>
      <c r="W189" s="19"/>
    </row>
    <row r="190" spans="1:23" ht="148.0" customHeight="true">
      <c r="A190" s="18"/>
      <c r="B190" s="19"/>
      <c r="C190" s="18"/>
      <c r="D190" s="19"/>
      <c r="E190" s="18"/>
      <c r="F190" s="19"/>
      <c r="G190" s="19"/>
      <c r="H190" s="19"/>
      <c r="I190" s="18"/>
      <c r="J190" s="18"/>
      <c r="K190" s="18"/>
      <c r="L190" s="18"/>
      <c r="M190" s="32" t="str">
        <f>IF(OR(K190="",L190=""),"",MATCH(K190,Lists!$C$2:$C$5,0)*MATCH(L190,Lists!$D$2:$D$6,0))</f>
        <v/>
      </c>
      <c r="N190" s="32" t="str">
        <f t="shared" si="4"/>
        <v/>
      </c>
      <c r="O190" s="32" t="str">
        <f t="shared" si="5"/>
        <v/>
      </c>
      <c r="P190" s="18"/>
      <c r="Q190" s="18"/>
      <c r="R190" s="18"/>
      <c r="S190" s="18"/>
      <c r="T190" s="18"/>
      <c r="U190" s="18"/>
      <c r="V190" s="35"/>
      <c r="W190" s="19"/>
    </row>
    <row r="191" spans="1:23" ht="148.0" customHeight="true">
      <c r="A191" s="18"/>
      <c r="B191" s="19"/>
      <c r="C191" s="18"/>
      <c r="D191" s="19"/>
      <c r="E191" s="18"/>
      <c r="F191" s="19"/>
      <c r="G191" s="19"/>
      <c r="H191" s="19"/>
      <c r="I191" s="18"/>
      <c r="J191" s="18"/>
      <c r="K191" s="18"/>
      <c r="L191" s="18"/>
      <c r="M191" s="32" t="str">
        <f>IF(OR(K191="",L191=""),"",MATCH(K191,Lists!$C$2:$C$5,0)*MATCH(L191,Lists!$D$2:$D$6,0))</f>
        <v/>
      </c>
      <c r="N191" s="32" t="str">
        <f t="shared" si="4"/>
        <v/>
      </c>
      <c r="O191" s="32" t="str">
        <f t="shared" si="5"/>
        <v/>
      </c>
      <c r="P191" s="18"/>
      <c r="Q191" s="18"/>
      <c r="R191" s="18"/>
      <c r="S191" s="18"/>
      <c r="T191" s="18"/>
      <c r="U191" s="18"/>
      <c r="V191" s="35"/>
      <c r="W191" s="19"/>
    </row>
    <row r="192" spans="1:23" ht="136.0" customHeight="true">
      <c r="A192" s="18"/>
      <c r="B192" s="19"/>
      <c r="C192" s="18"/>
      <c r="D192" s="19"/>
      <c r="E192" s="18"/>
      <c r="F192" s="19"/>
      <c r="G192" s="19"/>
      <c r="H192" s="19"/>
      <c r="I192" s="18"/>
      <c r="J192" s="18"/>
      <c r="K192" s="18"/>
      <c r="L192" s="18"/>
      <c r="M192" s="32" t="str">
        <f>IF(OR(K192="",L192=""),"",MATCH(K192,Lists!$C$2:$C$5,0)*MATCH(L192,Lists!$D$2:$D$6,0))</f>
        <v/>
      </c>
      <c r="N192" s="32" t="str">
        <f t="shared" si="4"/>
        <v/>
      </c>
      <c r="O192" s="32" t="str">
        <f t="shared" si="5"/>
        <v/>
      </c>
      <c r="P192" s="18"/>
      <c r="Q192" s="18"/>
      <c r="R192" s="18"/>
      <c r="S192" s="18"/>
      <c r="T192" s="18"/>
      <c r="U192" s="18"/>
      <c r="V192" s="35"/>
      <c r="W192" s="19"/>
    </row>
    <row r="193" spans="1:23" ht="124.0" customHeight="true">
      <c r="A193" s="18"/>
      <c r="B193" s="19"/>
      <c r="C193" s="18"/>
      <c r="D193" s="19"/>
      <c r="E193" s="18"/>
      <c r="F193" s="19"/>
      <c r="G193" s="19"/>
      <c r="H193" s="19"/>
      <c r="I193" s="18"/>
      <c r="J193" s="18"/>
      <c r="K193" s="18"/>
      <c r="L193" s="18"/>
      <c r="M193" s="32" t="str">
        <f>IF(OR(K193="",L193=""),"",MATCH(K193,Lists!$C$2:$C$5,0)*MATCH(L193,Lists!$D$2:$D$6,0))</f>
        <v/>
      </c>
      <c r="N193" s="32" t="str">
        <f t="shared" si="4"/>
        <v/>
      </c>
      <c r="O193" s="32" t="str">
        <f t="shared" si="5"/>
        <v/>
      </c>
      <c r="P193" s="18"/>
      <c r="Q193" s="18"/>
      <c r="R193" s="18"/>
      <c r="S193" s="18"/>
      <c r="T193" s="18"/>
      <c r="U193" s="18"/>
      <c r="V193" s="35"/>
      <c r="W193" s="19"/>
    </row>
    <row r="194" spans="1:23" ht="136.0" customHeight="true">
      <c r="A194" s="18"/>
      <c r="B194" s="19"/>
      <c r="C194" s="18"/>
      <c r="D194" s="19"/>
      <c r="E194" s="18"/>
      <c r="F194" s="19"/>
      <c r="G194" s="19"/>
      <c r="H194" s="19"/>
      <c r="I194" s="18"/>
      <c r="J194" s="18"/>
      <c r="K194" s="18"/>
      <c r="L194" s="18"/>
      <c r="M194" s="32" t="str">
        <f>IF(OR(K194="",L194=""),"",MATCH(K194,Lists!$C$2:$C$5,0)*MATCH(L194,Lists!$D$2:$D$6,0))</f>
        <v/>
      </c>
      <c r="N194" s="32" t="str">
        <f t="shared" ref="N194:N257" si="6">IF(M194="","",IF(M194&gt;=12,"Critical",IF(M194&gt;=8,"High",IF(M194&gt;=4,"Medium","Low"))))</f>
        <v/>
      </c>
      <c r="O194" s="32" t="str">
        <f t="shared" ref="O194:O257" si="7">IF(N194="","",IF(N194="Critical","P1",IF(N194="High","P2",IF(N194="Medium","P3","P4"))))</f>
        <v/>
      </c>
      <c r="P194" s="18"/>
      <c r="Q194" s="18"/>
      <c r="R194" s="18"/>
      <c r="S194" s="18"/>
      <c r="T194" s="18"/>
      <c r="U194" s="18"/>
      <c r="V194" s="35"/>
      <c r="W194" s="19"/>
    </row>
    <row r="195" spans="1:23" ht="136.0" customHeight="true">
      <c r="A195" s="18"/>
      <c r="B195" s="19"/>
      <c r="C195" s="18"/>
      <c r="D195" s="19"/>
      <c r="E195" s="18"/>
      <c r="F195" s="19"/>
      <c r="G195" s="19"/>
      <c r="H195" s="19"/>
      <c r="I195" s="18"/>
      <c r="J195" s="18"/>
      <c r="K195" s="18"/>
      <c r="L195" s="18"/>
      <c r="M195" s="32" t="str">
        <f>IF(OR(K195="",L195=""),"",MATCH(K195,Lists!$C$2:$C$5,0)*MATCH(L195,Lists!$D$2:$D$6,0))</f>
        <v/>
      </c>
      <c r="N195" s="32" t="str">
        <f t="shared" si="6"/>
        <v/>
      </c>
      <c r="O195" s="32" t="str">
        <f t="shared" si="7"/>
        <v/>
      </c>
      <c r="P195" s="18"/>
      <c r="Q195" s="18"/>
      <c r="R195" s="18"/>
      <c r="S195" s="18"/>
      <c r="T195" s="18"/>
      <c r="U195" s="18"/>
      <c r="V195" s="35"/>
      <c r="W195" s="19"/>
    </row>
    <row r="196" spans="1:23" ht="136.0" customHeight="true">
      <c r="A196" s="18"/>
      <c r="B196" s="19"/>
      <c r="C196" s="18"/>
      <c r="D196" s="19"/>
      <c r="E196" s="18"/>
      <c r="F196" s="19"/>
      <c r="G196" s="19"/>
      <c r="H196" s="19"/>
      <c r="I196" s="18"/>
      <c r="J196" s="18"/>
      <c r="K196" s="18"/>
      <c r="L196" s="18"/>
      <c r="M196" s="32" t="str">
        <f>IF(OR(K196="",L196=""),"",MATCH(K196,Lists!$C$2:$C$5,0)*MATCH(L196,Lists!$D$2:$D$6,0))</f>
        <v/>
      </c>
      <c r="N196" s="32" t="str">
        <f t="shared" si="6"/>
        <v/>
      </c>
      <c r="O196" s="32" t="str">
        <f t="shared" si="7"/>
        <v/>
      </c>
      <c r="P196" s="18"/>
      <c r="Q196" s="18"/>
      <c r="R196" s="18"/>
      <c r="S196" s="18"/>
      <c r="T196" s="18"/>
      <c r="U196" s="18"/>
      <c r="V196" s="35"/>
      <c r="W196" s="19"/>
    </row>
    <row r="197" spans="1:23" ht="136.0" customHeight="true">
      <c r="A197" s="18"/>
      <c r="B197" s="19"/>
      <c r="C197" s="18"/>
      <c r="D197" s="19"/>
      <c r="E197" s="18"/>
      <c r="F197" s="19"/>
      <c r="G197" s="19"/>
      <c r="H197" s="19"/>
      <c r="I197" s="18"/>
      <c r="J197" s="18"/>
      <c r="K197" s="18"/>
      <c r="L197" s="18"/>
      <c r="M197" s="32" t="str">
        <f>IF(OR(K197="",L197=""),"",MATCH(K197,Lists!$C$2:$C$5,0)*MATCH(L197,Lists!$D$2:$D$6,0))</f>
        <v/>
      </c>
      <c r="N197" s="32" t="str">
        <f t="shared" si="6"/>
        <v/>
      </c>
      <c r="O197" s="32" t="str">
        <f t="shared" si="7"/>
        <v/>
      </c>
      <c r="P197" s="18"/>
      <c r="Q197" s="18"/>
      <c r="R197" s="18"/>
      <c r="S197" s="18"/>
      <c r="T197" s="18"/>
      <c r="U197" s="18"/>
      <c r="V197" s="35"/>
      <c r="W197" s="19"/>
    </row>
    <row r="198" spans="1:23" ht="100.0" customHeight="true">
      <c r="A198" s="18"/>
      <c r="B198" s="19"/>
      <c r="C198" s="18"/>
      <c r="D198" s="19"/>
      <c r="E198" s="18"/>
      <c r="F198" s="19"/>
      <c r="G198" s="19"/>
      <c r="H198" s="19"/>
      <c r="I198" s="18"/>
      <c r="J198" s="18"/>
      <c r="K198" s="18"/>
      <c r="L198" s="18"/>
      <c r="M198" s="32" t="str">
        <f>IF(OR(K198="",L198=""),"",MATCH(K198,Lists!$C$2:$C$5,0)*MATCH(L198,Lists!$D$2:$D$6,0))</f>
        <v/>
      </c>
      <c r="N198" s="32" t="str">
        <f t="shared" si="6"/>
        <v/>
      </c>
      <c r="O198" s="32" t="str">
        <f t="shared" si="7"/>
        <v/>
      </c>
      <c r="P198" s="18"/>
      <c r="Q198" s="18"/>
      <c r="R198" s="18"/>
      <c r="S198" s="18"/>
      <c r="T198" s="18"/>
      <c r="U198" s="18"/>
      <c r="V198" s="35"/>
      <c r="W198" s="19"/>
    </row>
    <row r="199" spans="1:23" ht="76.0" customHeight="true">
      <c r="A199" s="18"/>
      <c r="B199" s="19"/>
      <c r="C199" s="18"/>
      <c r="D199" s="19"/>
      <c r="E199" s="18"/>
      <c r="F199" s="19"/>
      <c r="G199" s="19"/>
      <c r="H199" s="19"/>
      <c r="I199" s="18"/>
      <c r="J199" s="18"/>
      <c r="K199" s="18"/>
      <c r="L199" s="18"/>
      <c r="M199" s="32" t="str">
        <f>IF(OR(K199="",L199=""),"",MATCH(K199,Lists!$C$2:$C$5,0)*MATCH(L199,Lists!$D$2:$D$6,0))</f>
        <v/>
      </c>
      <c r="N199" s="32" t="str">
        <f t="shared" si="6"/>
        <v/>
      </c>
      <c r="O199" s="32" t="str">
        <f t="shared" si="7"/>
        <v/>
      </c>
      <c r="P199" s="18"/>
      <c r="Q199" s="18"/>
      <c r="R199" s="18"/>
      <c r="S199" s="18"/>
      <c r="T199" s="18"/>
      <c r="U199" s="18"/>
      <c r="V199" s="35"/>
      <c r="W199" s="19"/>
    </row>
    <row r="200" spans="1:23" ht="88.0" customHeight="true">
      <c r="A200" s="18"/>
      <c r="B200" s="19"/>
      <c r="C200" s="18"/>
      <c r="D200" s="19"/>
      <c r="E200" s="18"/>
      <c r="F200" s="19"/>
      <c r="G200" s="19"/>
      <c r="H200" s="19"/>
      <c r="I200" s="18"/>
      <c r="J200" s="18"/>
      <c r="K200" s="18"/>
      <c r="L200" s="18"/>
      <c r="M200" s="32" t="str">
        <f>IF(OR(K200="",L200=""),"",MATCH(K200,Lists!$C$2:$C$5,0)*MATCH(L200,Lists!$D$2:$D$6,0))</f>
        <v/>
      </c>
      <c r="N200" s="32" t="str">
        <f t="shared" si="6"/>
        <v/>
      </c>
      <c r="O200" s="32" t="str">
        <f t="shared" si="7"/>
        <v/>
      </c>
      <c r="P200" s="18"/>
      <c r="Q200" s="18"/>
      <c r="R200" s="18"/>
      <c r="S200" s="18"/>
      <c r="T200" s="18"/>
      <c r="U200" s="18"/>
      <c r="V200" s="35"/>
      <c r="W200" s="19"/>
    </row>
    <row r="201" spans="1:23" ht="76.0" customHeight="true">
      <c r="A201" s="18"/>
      <c r="B201" s="19"/>
      <c r="C201" s="18"/>
      <c r="D201" s="19"/>
      <c r="E201" s="18"/>
      <c r="F201" s="19"/>
      <c r="G201" s="19"/>
      <c r="H201" s="19"/>
      <c r="I201" s="18"/>
      <c r="J201" s="18"/>
      <c r="K201" s="18"/>
      <c r="L201" s="18"/>
      <c r="M201" s="32" t="str">
        <f>IF(OR(K201="",L201=""),"",MATCH(K201,Lists!$C$2:$C$5,0)*MATCH(L201,Lists!$D$2:$D$6,0))</f>
        <v/>
      </c>
      <c r="N201" s="32" t="str">
        <f t="shared" si="6"/>
        <v/>
      </c>
      <c r="O201" s="32" t="str">
        <f t="shared" si="7"/>
        <v/>
      </c>
      <c r="P201" s="18"/>
      <c r="Q201" s="18"/>
      <c r="R201" s="18"/>
      <c r="S201" s="18"/>
      <c r="T201" s="18"/>
      <c r="U201" s="18"/>
      <c r="V201" s="35"/>
      <c r="W201" s="19"/>
    </row>
    <row r="202" spans="1:23" ht="136.0" customHeight="true">
      <c r="A202" s="18"/>
      <c r="B202" s="19"/>
      <c r="C202" s="18"/>
      <c r="D202" s="19"/>
      <c r="E202" s="18"/>
      <c r="F202" s="19"/>
      <c r="G202" s="19"/>
      <c r="H202" s="19"/>
      <c r="I202" s="18"/>
      <c r="J202" s="18"/>
      <c r="K202" s="18"/>
      <c r="L202" s="18"/>
      <c r="M202" s="32" t="str">
        <f>IF(OR(K202="",L202=""),"",MATCH(K202,Lists!$C$2:$C$5,0)*MATCH(L202,Lists!$D$2:$D$6,0))</f>
        <v/>
      </c>
      <c r="N202" s="32" t="str">
        <f t="shared" si="6"/>
        <v/>
      </c>
      <c r="O202" s="32" t="str">
        <f t="shared" si="7"/>
        <v/>
      </c>
      <c r="P202" s="18"/>
      <c r="Q202" s="18"/>
      <c r="R202" s="18"/>
      <c r="S202" s="18"/>
      <c r="T202" s="18"/>
      <c r="U202" s="18"/>
      <c r="V202" s="35"/>
      <c r="W202" s="19"/>
    </row>
    <row r="203" spans="1:23" ht="124.0" customHeight="true">
      <c r="A203" s="18"/>
      <c r="B203" s="19"/>
      <c r="C203" s="18"/>
      <c r="D203" s="19"/>
      <c r="E203" s="18"/>
      <c r="F203" s="19"/>
      <c r="G203" s="19"/>
      <c r="H203" s="19"/>
      <c r="I203" s="18"/>
      <c r="J203" s="18"/>
      <c r="K203" s="18"/>
      <c r="L203" s="18"/>
      <c r="M203" s="32" t="str">
        <f>IF(OR(K203="",L203=""),"",MATCH(K203,Lists!$C$2:$C$5,0)*MATCH(L203,Lists!$D$2:$D$6,0))</f>
        <v/>
      </c>
      <c r="N203" s="32" t="str">
        <f t="shared" si="6"/>
        <v/>
      </c>
      <c r="O203" s="32" t="str">
        <f t="shared" si="7"/>
        <v/>
      </c>
      <c r="P203" s="18"/>
      <c r="Q203" s="18"/>
      <c r="R203" s="18"/>
      <c r="S203" s="18"/>
      <c r="T203" s="18"/>
      <c r="U203" s="18"/>
      <c r="V203" s="35"/>
      <c r="W203" s="19"/>
    </row>
    <row r="204" spans="1:23" ht="136.0" customHeight="true">
      <c r="A204" s="18"/>
      <c r="B204" s="19"/>
      <c r="C204" s="18"/>
      <c r="D204" s="19"/>
      <c r="E204" s="18"/>
      <c r="F204" s="19"/>
      <c r="G204" s="19"/>
      <c r="H204" s="19"/>
      <c r="I204" s="18"/>
      <c r="J204" s="18"/>
      <c r="K204" s="18"/>
      <c r="L204" s="18"/>
      <c r="M204" s="32" t="str">
        <f>IF(OR(K204="",L204=""),"",MATCH(K204,Lists!$C$2:$C$5,0)*MATCH(L204,Lists!$D$2:$D$6,0))</f>
        <v/>
      </c>
      <c r="N204" s="32" t="str">
        <f t="shared" si="6"/>
        <v/>
      </c>
      <c r="O204" s="32" t="str">
        <f t="shared" si="7"/>
        <v/>
      </c>
      <c r="P204" s="18"/>
      <c r="Q204" s="18"/>
      <c r="R204" s="18"/>
      <c r="S204" s="18"/>
      <c r="T204" s="18"/>
      <c r="U204" s="18"/>
      <c r="V204" s="35"/>
      <c r="W204" s="19"/>
    </row>
    <row r="205" spans="1:23" ht="100.0" customHeight="true">
      <c r="A205" s="18"/>
      <c r="B205" s="19"/>
      <c r="C205" s="18"/>
      <c r="D205" s="19"/>
      <c r="E205" s="18"/>
      <c r="F205" s="19"/>
      <c r="G205" s="19"/>
      <c r="H205" s="19"/>
      <c r="I205" s="18"/>
      <c r="J205" s="18"/>
      <c r="K205" s="18"/>
      <c r="L205" s="18"/>
      <c r="M205" s="32" t="str">
        <f>IF(OR(K205="",L205=""),"",MATCH(K205,Lists!$C$2:$C$5,0)*MATCH(L205,Lists!$D$2:$D$6,0))</f>
        <v/>
      </c>
      <c r="N205" s="32" t="str">
        <f t="shared" si="6"/>
        <v/>
      </c>
      <c r="O205" s="32" t="str">
        <f t="shared" si="7"/>
        <v/>
      </c>
      <c r="P205" s="18"/>
      <c r="Q205" s="18"/>
      <c r="R205" s="18"/>
      <c r="S205" s="18"/>
      <c r="T205" s="18"/>
      <c r="U205" s="18"/>
      <c r="V205" s="35"/>
      <c r="W205" s="19"/>
    </row>
    <row r="206" spans="1:23" ht="124.0" customHeight="true">
      <c r="A206" s="18"/>
      <c r="B206" s="19"/>
      <c r="C206" s="18"/>
      <c r="D206" s="19"/>
      <c r="E206" s="18"/>
      <c r="F206" s="19"/>
      <c r="G206" s="19"/>
      <c r="H206" s="19"/>
      <c r="I206" s="18"/>
      <c r="J206" s="18"/>
      <c r="K206" s="18"/>
      <c r="L206" s="18"/>
      <c r="M206" s="32" t="str">
        <f>IF(OR(K206="",L206=""),"",MATCH(K206,Lists!$C$2:$C$5,0)*MATCH(L206,Lists!$D$2:$D$6,0))</f>
        <v/>
      </c>
      <c r="N206" s="32" t="str">
        <f t="shared" si="6"/>
        <v/>
      </c>
      <c r="O206" s="32" t="str">
        <f t="shared" si="7"/>
        <v/>
      </c>
      <c r="P206" s="18"/>
      <c r="Q206" s="18"/>
      <c r="R206" s="18"/>
      <c r="S206" s="18"/>
      <c r="T206" s="18"/>
      <c r="U206" s="18"/>
      <c r="V206" s="35"/>
      <c r="W206" s="19"/>
    </row>
    <row r="207" spans="1:23" ht="100.0" customHeight="true">
      <c r="A207" s="18"/>
      <c r="B207" s="19"/>
      <c r="C207" s="18"/>
      <c r="D207" s="19"/>
      <c r="E207" s="18"/>
      <c r="F207" s="19"/>
      <c r="G207" s="19"/>
      <c r="H207" s="19"/>
      <c r="I207" s="18"/>
      <c r="J207" s="18"/>
      <c r="K207" s="18"/>
      <c r="L207" s="18"/>
      <c r="M207" s="32" t="str">
        <f>IF(OR(K207="",L207=""),"",MATCH(K207,Lists!$C$2:$C$5,0)*MATCH(L207,Lists!$D$2:$D$6,0))</f>
        <v/>
      </c>
      <c r="N207" s="32" t="str">
        <f t="shared" si="6"/>
        <v/>
      </c>
      <c r="O207" s="32" t="str">
        <f t="shared" si="7"/>
        <v/>
      </c>
      <c r="P207" s="18"/>
      <c r="Q207" s="18"/>
      <c r="R207" s="18"/>
      <c r="S207" s="18"/>
      <c r="T207" s="18"/>
      <c r="U207" s="18"/>
      <c r="V207" s="35"/>
      <c r="W207" s="19"/>
    </row>
    <row r="208" spans="1:23" ht="148.0" customHeight="true">
      <c r="A208" s="18"/>
      <c r="B208" s="19"/>
      <c r="C208" s="18"/>
      <c r="D208" s="19"/>
      <c r="E208" s="18"/>
      <c r="F208" s="19"/>
      <c r="G208" s="19"/>
      <c r="H208" s="19"/>
      <c r="I208" s="18"/>
      <c r="J208" s="18"/>
      <c r="K208" s="18"/>
      <c r="L208" s="18"/>
      <c r="M208" s="32" t="str">
        <f>IF(OR(K208="",L208=""),"",MATCH(K208,Lists!$C$2:$C$5,0)*MATCH(L208,Lists!$D$2:$D$6,0))</f>
        <v/>
      </c>
      <c r="N208" s="32" t="str">
        <f t="shared" si="6"/>
        <v/>
      </c>
      <c r="O208" s="32" t="str">
        <f t="shared" si="7"/>
        <v/>
      </c>
      <c r="P208" s="18"/>
      <c r="Q208" s="18"/>
      <c r="R208" s="18"/>
      <c r="S208" s="18"/>
      <c r="T208" s="18"/>
      <c r="U208" s="18"/>
      <c r="V208" s="35"/>
      <c r="W208" s="19"/>
    </row>
    <row r="209" spans="1:23" ht="124.0" customHeight="true">
      <c r="A209" s="18"/>
      <c r="B209" s="19"/>
      <c r="C209" s="18"/>
      <c r="D209" s="19"/>
      <c r="E209" s="18"/>
      <c r="F209" s="19"/>
      <c r="G209" s="19"/>
      <c r="H209" s="19"/>
      <c r="I209" s="18"/>
      <c r="J209" s="18"/>
      <c r="K209" s="18"/>
      <c r="L209" s="18"/>
      <c r="M209" s="32" t="str">
        <f>IF(OR(K209="",L209=""),"",MATCH(K209,Lists!$C$2:$C$5,0)*MATCH(L209,Lists!$D$2:$D$6,0))</f>
        <v/>
      </c>
      <c r="N209" s="32" t="str">
        <f t="shared" si="6"/>
        <v/>
      </c>
      <c r="O209" s="32" t="str">
        <f t="shared" si="7"/>
        <v/>
      </c>
      <c r="P209" s="18"/>
      <c r="Q209" s="18"/>
      <c r="R209" s="18"/>
      <c r="S209" s="18"/>
      <c r="T209" s="18"/>
      <c r="U209" s="18"/>
      <c r="V209" s="35"/>
      <c r="W209" s="19"/>
    </row>
    <row r="210" spans="1:23" ht="148.0" customHeight="true">
      <c r="A210" s="18"/>
      <c r="B210" s="19"/>
      <c r="C210" s="18"/>
      <c r="D210" s="19"/>
      <c r="E210" s="18"/>
      <c r="F210" s="19"/>
      <c r="G210" s="19"/>
      <c r="H210" s="19"/>
      <c r="I210" s="18"/>
      <c r="J210" s="18"/>
      <c r="K210" s="18"/>
      <c r="L210" s="18"/>
      <c r="M210" s="32" t="str">
        <f>IF(OR(K210="",L210=""),"",MATCH(K210,Lists!$C$2:$C$5,0)*MATCH(L210,Lists!$D$2:$D$6,0))</f>
        <v/>
      </c>
      <c r="N210" s="32" t="str">
        <f t="shared" si="6"/>
        <v/>
      </c>
      <c r="O210" s="32" t="str">
        <f t="shared" si="7"/>
        <v/>
      </c>
      <c r="P210" s="18"/>
      <c r="Q210" s="18"/>
      <c r="R210" s="18"/>
      <c r="S210" s="18"/>
      <c r="T210" s="18"/>
      <c r="U210" s="18"/>
      <c r="V210" s="35"/>
      <c r="W210" s="19"/>
    </row>
    <row r="211" spans="1:23" ht="124.0" customHeight="true">
      <c r="A211" s="18"/>
      <c r="B211" s="19"/>
      <c r="C211" s="18"/>
      <c r="D211" s="19"/>
      <c r="E211" s="18"/>
      <c r="F211" s="19"/>
      <c r="G211" s="19"/>
      <c r="H211" s="19"/>
      <c r="I211" s="18"/>
      <c r="J211" s="18"/>
      <c r="K211" s="18"/>
      <c r="L211" s="18"/>
      <c r="M211" s="32" t="str">
        <f>IF(OR(K211="",L211=""),"",MATCH(K211,Lists!$C$2:$C$5,0)*MATCH(L211,Lists!$D$2:$D$6,0))</f>
        <v/>
      </c>
      <c r="N211" s="32" t="str">
        <f t="shared" si="6"/>
        <v/>
      </c>
      <c r="O211" s="32" t="str">
        <f t="shared" si="7"/>
        <v/>
      </c>
      <c r="P211" s="18"/>
      <c r="Q211" s="18"/>
      <c r="R211" s="18"/>
      <c r="S211" s="18"/>
      <c r="T211" s="18"/>
      <c r="U211" s="18"/>
      <c r="V211" s="35"/>
      <c r="W211" s="19"/>
    </row>
    <row r="212" spans="1:23" ht="136.0" customHeight="true">
      <c r="A212" s="18"/>
      <c r="B212" s="19"/>
      <c r="C212" s="18"/>
      <c r="D212" s="19"/>
      <c r="E212" s="18"/>
      <c r="F212" s="19"/>
      <c r="G212" s="19"/>
      <c r="H212" s="19"/>
      <c r="I212" s="18"/>
      <c r="J212" s="18"/>
      <c r="K212" s="18"/>
      <c r="L212" s="18"/>
      <c r="M212" s="32" t="str">
        <f>IF(OR(K212="",L212=""),"",MATCH(K212,Lists!$C$2:$C$5,0)*MATCH(L212,Lists!$D$2:$D$6,0))</f>
        <v/>
      </c>
      <c r="N212" s="32" t="str">
        <f t="shared" si="6"/>
        <v/>
      </c>
      <c r="O212" s="32" t="str">
        <f t="shared" si="7"/>
        <v/>
      </c>
      <c r="P212" s="18"/>
      <c r="Q212" s="18"/>
      <c r="R212" s="18"/>
      <c r="S212" s="18"/>
      <c r="T212" s="18"/>
      <c r="U212" s="18"/>
      <c r="V212" s="35"/>
      <c r="W212" s="19"/>
    </row>
    <row r="213" spans="1:23" ht="136.0" customHeight="true">
      <c r="A213" s="18"/>
      <c r="B213" s="19"/>
      <c r="C213" s="18"/>
      <c r="D213" s="19"/>
      <c r="E213" s="18"/>
      <c r="F213" s="19"/>
      <c r="G213" s="19"/>
      <c r="H213" s="19"/>
      <c r="I213" s="18"/>
      <c r="J213" s="18"/>
      <c r="K213" s="18"/>
      <c r="L213" s="18"/>
      <c r="M213" s="32" t="str">
        <f>IF(OR(K213="",L213=""),"",MATCH(K213,Lists!$C$2:$C$5,0)*MATCH(L213,Lists!$D$2:$D$6,0))</f>
        <v/>
      </c>
      <c r="N213" s="32" t="str">
        <f t="shared" si="6"/>
        <v/>
      </c>
      <c r="O213" s="32" t="str">
        <f t="shared" si="7"/>
        <v/>
      </c>
      <c r="P213" s="18"/>
      <c r="Q213" s="18"/>
      <c r="R213" s="18"/>
      <c r="S213" s="18"/>
      <c r="T213" s="18"/>
      <c r="U213" s="18"/>
      <c r="V213" s="35"/>
      <c r="W213" s="19"/>
    </row>
    <row r="214" spans="1:23" ht="124.0" customHeight="true">
      <c r="A214" s="18"/>
      <c r="B214" s="19"/>
      <c r="C214" s="18"/>
      <c r="D214" s="19"/>
      <c r="E214" s="18"/>
      <c r="F214" s="19"/>
      <c r="G214" s="19"/>
      <c r="H214" s="19"/>
      <c r="I214" s="18"/>
      <c r="J214" s="18"/>
      <c r="K214" s="18"/>
      <c r="L214" s="18"/>
      <c r="M214" s="32" t="str">
        <f>IF(OR(K214="",L214=""),"",MATCH(K214,Lists!$C$2:$C$5,0)*MATCH(L214,Lists!$D$2:$D$6,0))</f>
        <v/>
      </c>
      <c r="N214" s="32" t="str">
        <f t="shared" si="6"/>
        <v/>
      </c>
      <c r="O214" s="32" t="str">
        <f t="shared" si="7"/>
        <v/>
      </c>
      <c r="P214" s="18"/>
      <c r="Q214" s="18"/>
      <c r="R214" s="18"/>
      <c r="S214" s="18"/>
      <c r="T214" s="18"/>
      <c r="U214" s="18"/>
      <c r="V214" s="35"/>
      <c r="W214" s="19"/>
    </row>
    <row r="215" spans="1:23" ht="124.0" customHeight="true">
      <c r="A215" s="18"/>
      <c r="B215" s="19"/>
      <c r="C215" s="18"/>
      <c r="D215" s="19"/>
      <c r="E215" s="18"/>
      <c r="F215" s="19"/>
      <c r="G215" s="19"/>
      <c r="H215" s="19"/>
      <c r="I215" s="18"/>
      <c r="J215" s="18"/>
      <c r="K215" s="18"/>
      <c r="L215" s="18"/>
      <c r="M215" s="32" t="str">
        <f>IF(OR(K215="",L215=""),"",MATCH(K215,Lists!$C$2:$C$5,0)*MATCH(L215,Lists!$D$2:$D$6,0))</f>
        <v/>
      </c>
      <c r="N215" s="32" t="str">
        <f t="shared" si="6"/>
        <v/>
      </c>
      <c r="O215" s="32" t="str">
        <f t="shared" si="7"/>
        <v/>
      </c>
      <c r="P215" s="18"/>
      <c r="Q215" s="18"/>
      <c r="R215" s="18"/>
      <c r="S215" s="18"/>
      <c r="T215" s="18"/>
      <c r="U215" s="18"/>
      <c r="V215" s="35"/>
      <c r="W215" s="19"/>
    </row>
    <row r="216" spans="1:23" ht="100.0" customHeight="true">
      <c r="A216" s="18"/>
      <c r="B216" s="19"/>
      <c r="C216" s="18"/>
      <c r="D216" s="19"/>
      <c r="E216" s="18"/>
      <c r="F216" s="19"/>
      <c r="G216" s="19"/>
      <c r="H216" s="19"/>
      <c r="I216" s="18"/>
      <c r="J216" s="18"/>
      <c r="K216" s="18"/>
      <c r="L216" s="18"/>
      <c r="M216" s="32" t="str">
        <f>IF(OR(K216="",L216=""),"",MATCH(K216,Lists!$C$2:$C$5,0)*MATCH(L216,Lists!$D$2:$D$6,0))</f>
        <v/>
      </c>
      <c r="N216" s="32" t="str">
        <f t="shared" si="6"/>
        <v/>
      </c>
      <c r="O216" s="32" t="str">
        <f t="shared" si="7"/>
        <v/>
      </c>
      <c r="P216" s="18"/>
      <c r="Q216" s="18"/>
      <c r="R216" s="18"/>
      <c r="S216" s="18"/>
      <c r="T216" s="18"/>
      <c r="U216" s="18"/>
      <c r="V216" s="35"/>
      <c r="W216" s="19"/>
    </row>
    <row r="217" spans="1:23" ht="136.0" customHeight="true">
      <c r="A217" s="18"/>
      <c r="B217" s="19"/>
      <c r="C217" s="18"/>
      <c r="D217" s="19"/>
      <c r="E217" s="18"/>
      <c r="F217" s="19"/>
      <c r="G217" s="19"/>
      <c r="H217" s="19"/>
      <c r="I217" s="18"/>
      <c r="J217" s="18"/>
      <c r="K217" s="18"/>
      <c r="L217" s="18"/>
      <c r="M217" s="32" t="str">
        <f>IF(OR(K217="",L217=""),"",MATCH(K217,Lists!$C$2:$C$5,0)*MATCH(L217,Lists!$D$2:$D$6,0))</f>
        <v/>
      </c>
      <c r="N217" s="32" t="str">
        <f t="shared" si="6"/>
        <v/>
      </c>
      <c r="O217" s="32" t="str">
        <f t="shared" si="7"/>
        <v/>
      </c>
      <c r="P217" s="18"/>
      <c r="Q217" s="18"/>
      <c r="R217" s="18"/>
      <c r="S217" s="18"/>
      <c r="T217" s="18"/>
      <c r="U217" s="18"/>
      <c r="V217" s="35"/>
      <c r="W217" s="19"/>
    </row>
    <row r="218" spans="1:23" ht="148.0" customHeight="true">
      <c r="A218" s="18"/>
      <c r="B218" s="19"/>
      <c r="C218" s="18"/>
      <c r="D218" s="19"/>
      <c r="E218" s="18"/>
      <c r="F218" s="19"/>
      <c r="G218" s="19"/>
      <c r="H218" s="19"/>
      <c r="I218" s="18"/>
      <c r="J218" s="18"/>
      <c r="K218" s="18"/>
      <c r="L218" s="18"/>
      <c r="M218" s="32" t="str">
        <f>IF(OR(K218="",L218=""),"",MATCH(K218,Lists!$C$2:$C$5,0)*MATCH(L218,Lists!$D$2:$D$6,0))</f>
        <v/>
      </c>
      <c r="N218" s="32" t="str">
        <f t="shared" si="6"/>
        <v/>
      </c>
      <c r="O218" s="32" t="str">
        <f t="shared" si="7"/>
        <v/>
      </c>
      <c r="P218" s="18"/>
      <c r="Q218" s="18"/>
      <c r="R218" s="18"/>
      <c r="S218" s="18"/>
      <c r="T218" s="18"/>
      <c r="U218" s="18"/>
      <c r="V218" s="35"/>
      <c r="W218" s="19"/>
    </row>
    <row r="219" spans="1:23" ht="148.0" customHeight="true">
      <c r="A219" s="18"/>
      <c r="B219" s="19"/>
      <c r="C219" s="18"/>
      <c r="D219" s="19"/>
      <c r="E219" s="18"/>
      <c r="F219" s="19"/>
      <c r="G219" s="19"/>
      <c r="H219" s="19"/>
      <c r="I219" s="18"/>
      <c r="J219" s="18"/>
      <c r="K219" s="18"/>
      <c r="L219" s="18"/>
      <c r="M219" s="32" t="str">
        <f>IF(OR(K219="",L219=""),"",MATCH(K219,Lists!$C$2:$C$5,0)*MATCH(L219,Lists!$D$2:$D$6,0))</f>
        <v/>
      </c>
      <c r="N219" s="32" t="str">
        <f t="shared" si="6"/>
        <v/>
      </c>
      <c r="O219" s="32" t="str">
        <f t="shared" si="7"/>
        <v/>
      </c>
      <c r="P219" s="18"/>
      <c r="Q219" s="18"/>
      <c r="R219" s="18"/>
      <c r="S219" s="18"/>
      <c r="T219" s="18"/>
      <c r="U219" s="18"/>
      <c r="V219" s="35"/>
      <c r="W219" s="19"/>
    </row>
    <row r="220" spans="1:23" ht="88.0" customHeight="true">
      <c r="A220" s="18"/>
      <c r="B220" s="19"/>
      <c r="C220" s="18"/>
      <c r="D220" s="19"/>
      <c r="E220" s="18"/>
      <c r="F220" s="19"/>
      <c r="G220" s="19"/>
      <c r="H220" s="19"/>
      <c r="I220" s="18"/>
      <c r="J220" s="18"/>
      <c r="K220" s="18"/>
      <c r="L220" s="18"/>
      <c r="M220" s="32" t="str">
        <f>IF(OR(K220="",L220=""),"",MATCH(K220,Lists!$C$2:$C$5,0)*MATCH(L220,Lists!$D$2:$D$6,0))</f>
        <v/>
      </c>
      <c r="N220" s="32" t="str">
        <f t="shared" si="6"/>
        <v/>
      </c>
      <c r="O220" s="32" t="str">
        <f t="shared" si="7"/>
        <v/>
      </c>
      <c r="P220" s="18"/>
      <c r="Q220" s="18"/>
      <c r="R220" s="18"/>
      <c r="S220" s="18"/>
      <c r="T220" s="18"/>
      <c r="U220" s="18"/>
      <c r="V220" s="35"/>
      <c r="W220" s="19"/>
    </row>
    <row r="221" spans="1:23" ht="124.0" customHeight="true">
      <c r="A221" s="18"/>
      <c r="B221" s="19"/>
      <c r="C221" s="18"/>
      <c r="D221" s="19"/>
      <c r="E221" s="18"/>
      <c r="F221" s="19"/>
      <c r="G221" s="19"/>
      <c r="H221" s="19"/>
      <c r="I221" s="18"/>
      <c r="J221" s="18"/>
      <c r="K221" s="18"/>
      <c r="L221" s="18"/>
      <c r="M221" s="32" t="str">
        <f>IF(OR(K221="",L221=""),"",MATCH(K221,Lists!$C$2:$C$5,0)*MATCH(L221,Lists!$D$2:$D$6,0))</f>
        <v/>
      </c>
      <c r="N221" s="32" t="str">
        <f t="shared" si="6"/>
        <v/>
      </c>
      <c r="O221" s="32" t="str">
        <f t="shared" si="7"/>
        <v/>
      </c>
      <c r="P221" s="18"/>
      <c r="Q221" s="18"/>
      <c r="R221" s="18"/>
      <c r="S221" s="18"/>
      <c r="T221" s="18"/>
      <c r="U221" s="18"/>
      <c r="V221" s="35"/>
      <c r="W221" s="19"/>
    </row>
    <row r="222" spans="1:23" ht="112.0" customHeight="true">
      <c r="A222" s="18"/>
      <c r="B222" s="19"/>
      <c r="C222" s="18"/>
      <c r="D222" s="19"/>
      <c r="E222" s="18"/>
      <c r="F222" s="19"/>
      <c r="G222" s="19"/>
      <c r="H222" s="19"/>
      <c r="I222" s="18"/>
      <c r="J222" s="18"/>
      <c r="K222" s="18"/>
      <c r="L222" s="18"/>
      <c r="M222" s="32" t="str">
        <f>IF(OR(K222="",L222=""),"",MATCH(K222,Lists!$C$2:$C$5,0)*MATCH(L222,Lists!$D$2:$D$6,0))</f>
        <v/>
      </c>
      <c r="N222" s="32" t="str">
        <f t="shared" si="6"/>
        <v/>
      </c>
      <c r="O222" s="32" t="str">
        <f t="shared" si="7"/>
        <v/>
      </c>
      <c r="P222" s="18"/>
      <c r="Q222" s="18"/>
      <c r="R222" s="18"/>
      <c r="S222" s="18"/>
      <c r="T222" s="18"/>
      <c r="U222" s="18"/>
      <c r="V222" s="35"/>
      <c r="W222" s="19"/>
    </row>
    <row r="223" spans="1:23" ht="112.0" customHeight="true">
      <c r="A223" s="18"/>
      <c r="B223" s="19"/>
      <c r="C223" s="18"/>
      <c r="D223" s="19"/>
      <c r="E223" s="18"/>
      <c r="F223" s="19"/>
      <c r="G223" s="19"/>
      <c r="H223" s="19"/>
      <c r="I223" s="18"/>
      <c r="J223" s="18"/>
      <c r="K223" s="18"/>
      <c r="L223" s="18"/>
      <c r="M223" s="32" t="str">
        <f>IF(OR(K223="",L223=""),"",MATCH(K223,Lists!$C$2:$C$5,0)*MATCH(L223,Lists!$D$2:$D$6,0))</f>
        <v/>
      </c>
      <c r="N223" s="32" t="str">
        <f t="shared" si="6"/>
        <v/>
      </c>
      <c r="O223" s="32" t="str">
        <f t="shared" si="7"/>
        <v/>
      </c>
      <c r="P223" s="18"/>
      <c r="Q223" s="18"/>
      <c r="R223" s="18"/>
      <c r="S223" s="18"/>
      <c r="T223" s="18"/>
      <c r="U223" s="18"/>
      <c r="V223" s="35"/>
      <c r="W223" s="19"/>
    </row>
    <row r="224" spans="1:23" ht="124.0" customHeight="true">
      <c r="A224" s="18"/>
      <c r="B224" s="19"/>
      <c r="C224" s="18"/>
      <c r="D224" s="19"/>
      <c r="E224" s="18"/>
      <c r="F224" s="19"/>
      <c r="G224" s="19"/>
      <c r="H224" s="19"/>
      <c r="I224" s="18"/>
      <c r="J224" s="18"/>
      <c r="K224" s="18"/>
      <c r="L224" s="18"/>
      <c r="M224" s="32" t="str">
        <f>IF(OR(K224="",L224=""),"",MATCH(K224,Lists!$C$2:$C$5,0)*MATCH(L224,Lists!$D$2:$D$6,0))</f>
        <v/>
      </c>
      <c r="N224" s="32" t="str">
        <f t="shared" si="6"/>
        <v/>
      </c>
      <c r="O224" s="32" t="str">
        <f t="shared" si="7"/>
        <v/>
      </c>
      <c r="P224" s="18"/>
      <c r="Q224" s="18"/>
      <c r="R224" s="18"/>
      <c r="S224" s="18"/>
      <c r="T224" s="18"/>
      <c r="U224" s="18"/>
      <c r="V224" s="35"/>
      <c r="W224" s="19"/>
    </row>
    <row r="225" spans="1:23" ht="88.0" customHeight="true">
      <c r="A225" s="18"/>
      <c r="B225" s="19"/>
      <c r="C225" s="18"/>
      <c r="D225" s="19"/>
      <c r="E225" s="18"/>
      <c r="F225" s="19"/>
      <c r="G225" s="19"/>
      <c r="H225" s="19"/>
      <c r="I225" s="18"/>
      <c r="J225" s="18"/>
      <c r="K225" s="18"/>
      <c r="L225" s="18"/>
      <c r="M225" s="32" t="str">
        <f>IF(OR(K225="",L225=""),"",MATCH(K225,Lists!$C$2:$C$5,0)*MATCH(L225,Lists!$D$2:$D$6,0))</f>
        <v/>
      </c>
      <c r="N225" s="32" t="str">
        <f t="shared" si="6"/>
        <v/>
      </c>
      <c r="O225" s="32" t="str">
        <f t="shared" si="7"/>
        <v/>
      </c>
      <c r="P225" s="18"/>
      <c r="Q225" s="18"/>
      <c r="R225" s="18"/>
      <c r="S225" s="18"/>
      <c r="T225" s="18"/>
      <c r="U225" s="18"/>
      <c r="V225" s="35"/>
      <c r="W225" s="19"/>
    </row>
    <row r="226" spans="1:23" ht="100.0" customHeight="true">
      <c r="A226" s="18"/>
      <c r="B226" s="19"/>
      <c r="C226" s="18"/>
      <c r="D226" s="19"/>
      <c r="E226" s="18"/>
      <c r="F226" s="19"/>
      <c r="G226" s="19"/>
      <c r="H226" s="19"/>
      <c r="I226" s="18"/>
      <c r="J226" s="18"/>
      <c r="K226" s="18"/>
      <c r="L226" s="18"/>
      <c r="M226" s="32" t="str">
        <f>IF(OR(K226="",L226=""),"",MATCH(K226,Lists!$C$2:$C$5,0)*MATCH(L226,Lists!$D$2:$D$6,0))</f>
        <v/>
      </c>
      <c r="N226" s="32" t="str">
        <f t="shared" si="6"/>
        <v/>
      </c>
      <c r="O226" s="32" t="str">
        <f t="shared" si="7"/>
        <v/>
      </c>
      <c r="P226" s="18"/>
      <c r="Q226" s="18"/>
      <c r="R226" s="18"/>
      <c r="S226" s="18"/>
      <c r="T226" s="18"/>
      <c r="U226" s="18"/>
      <c r="V226" s="35"/>
      <c r="W226" s="19"/>
    </row>
    <row r="227" spans="1:23" ht="112.0" customHeight="true">
      <c r="A227" s="18"/>
      <c r="B227" s="19"/>
      <c r="C227" s="18"/>
      <c r="D227" s="19"/>
      <c r="E227" s="18"/>
      <c r="F227" s="19"/>
      <c r="G227" s="19"/>
      <c r="H227" s="19"/>
      <c r="I227" s="18"/>
      <c r="J227" s="18"/>
      <c r="K227" s="18"/>
      <c r="L227" s="18"/>
      <c r="M227" s="32" t="str">
        <f>IF(OR(K227="",L227=""),"",MATCH(K227,Lists!$C$2:$C$5,0)*MATCH(L227,Lists!$D$2:$D$6,0))</f>
        <v/>
      </c>
      <c r="N227" s="32" t="str">
        <f t="shared" si="6"/>
        <v/>
      </c>
      <c r="O227" s="32" t="str">
        <f t="shared" si="7"/>
        <v/>
      </c>
      <c r="P227" s="18"/>
      <c r="Q227" s="18"/>
      <c r="R227" s="18"/>
      <c r="S227" s="18"/>
      <c r="T227" s="18"/>
      <c r="U227" s="18"/>
      <c r="V227" s="35"/>
      <c r="W227" s="19"/>
    </row>
    <row r="228" spans="1:23" ht="100.0" customHeight="true">
      <c r="A228" s="18"/>
      <c r="B228" s="19"/>
      <c r="C228" s="18"/>
      <c r="D228" s="19"/>
      <c r="E228" s="18"/>
      <c r="F228" s="19"/>
      <c r="G228" s="19"/>
      <c r="H228" s="19"/>
      <c r="I228" s="18"/>
      <c r="J228" s="18"/>
      <c r="K228" s="18"/>
      <c r="L228" s="18"/>
      <c r="M228" s="32" t="str">
        <f>IF(OR(K228="",L228=""),"",MATCH(K228,Lists!$C$2:$C$5,0)*MATCH(L228,Lists!$D$2:$D$6,0))</f>
        <v/>
      </c>
      <c r="N228" s="32" t="str">
        <f t="shared" si="6"/>
        <v/>
      </c>
      <c r="O228" s="32" t="str">
        <f t="shared" si="7"/>
        <v/>
      </c>
      <c r="P228" s="18"/>
      <c r="Q228" s="18"/>
      <c r="R228" s="18"/>
      <c r="S228" s="18"/>
      <c r="T228" s="18"/>
      <c r="U228" s="18"/>
      <c r="V228" s="35"/>
      <c r="W228" s="19"/>
    </row>
    <row r="229" spans="1:23" ht="112.0" customHeight="true">
      <c r="A229" s="18"/>
      <c r="B229" s="19"/>
      <c r="C229" s="18"/>
      <c r="D229" s="19"/>
      <c r="E229" s="18"/>
      <c r="F229" s="19"/>
      <c r="G229" s="19"/>
      <c r="H229" s="19"/>
      <c r="I229" s="18"/>
      <c r="J229" s="18"/>
      <c r="K229" s="18"/>
      <c r="L229" s="18"/>
      <c r="M229" s="32" t="str">
        <f>IF(OR(K229="",L229=""),"",MATCH(K229,Lists!$C$2:$C$5,0)*MATCH(L229,Lists!$D$2:$D$6,0))</f>
        <v/>
      </c>
      <c r="N229" s="32" t="str">
        <f t="shared" si="6"/>
        <v/>
      </c>
      <c r="O229" s="32" t="str">
        <f t="shared" si="7"/>
        <v/>
      </c>
      <c r="P229" s="18"/>
      <c r="Q229" s="18"/>
      <c r="R229" s="18"/>
      <c r="S229" s="18"/>
      <c r="T229" s="18"/>
      <c r="U229" s="18"/>
      <c r="V229" s="35"/>
      <c r="W229" s="19"/>
    </row>
    <row r="230" spans="1:23" ht="112.0" customHeight="true">
      <c r="A230" s="18"/>
      <c r="B230" s="19"/>
      <c r="C230" s="18"/>
      <c r="D230" s="19"/>
      <c r="E230" s="18"/>
      <c r="F230" s="19"/>
      <c r="G230" s="19"/>
      <c r="H230" s="19"/>
      <c r="I230" s="18"/>
      <c r="J230" s="18"/>
      <c r="K230" s="18"/>
      <c r="L230" s="18"/>
      <c r="M230" s="32" t="str">
        <f>IF(OR(K230="",L230=""),"",MATCH(K230,Lists!$C$2:$C$5,0)*MATCH(L230,Lists!$D$2:$D$6,0))</f>
        <v/>
      </c>
      <c r="N230" s="32" t="str">
        <f t="shared" si="6"/>
        <v/>
      </c>
      <c r="O230" s="32" t="str">
        <f t="shared" si="7"/>
        <v/>
      </c>
      <c r="P230" s="18"/>
      <c r="Q230" s="18"/>
      <c r="R230" s="18"/>
      <c r="S230" s="18"/>
      <c r="T230" s="18"/>
      <c r="U230" s="18"/>
      <c r="V230" s="35"/>
      <c r="W230" s="19"/>
    </row>
    <row r="231" spans="1:23" ht="76.0" customHeight="true">
      <c r="A231" s="18"/>
      <c r="B231" s="19"/>
      <c r="C231" s="18"/>
      <c r="D231" s="19"/>
      <c r="E231" s="18"/>
      <c r="F231" s="19"/>
      <c r="G231" s="19"/>
      <c r="H231" s="19"/>
      <c r="I231" s="18"/>
      <c r="J231" s="18"/>
      <c r="K231" s="18"/>
      <c r="L231" s="18"/>
      <c r="M231" s="32" t="str">
        <f>IF(OR(K231="",L231=""),"",MATCH(K231,Lists!$C$2:$C$5,0)*MATCH(L231,Lists!$D$2:$D$6,0))</f>
        <v/>
      </c>
      <c r="N231" s="32" t="str">
        <f t="shared" si="6"/>
        <v/>
      </c>
      <c r="O231" s="32" t="str">
        <f t="shared" si="7"/>
        <v/>
      </c>
      <c r="P231" s="18"/>
      <c r="Q231" s="18"/>
      <c r="R231" s="18"/>
      <c r="S231" s="18"/>
      <c r="T231" s="18"/>
      <c r="U231" s="18"/>
      <c r="V231" s="35"/>
      <c r="W231" s="19"/>
    </row>
    <row r="232" spans="1:23" ht="100.0" customHeight="true">
      <c r="A232" s="18"/>
      <c r="B232" s="19"/>
      <c r="C232" s="18"/>
      <c r="D232" s="19"/>
      <c r="E232" s="18"/>
      <c r="F232" s="19"/>
      <c r="G232" s="19"/>
      <c r="H232" s="19"/>
      <c r="I232" s="18"/>
      <c r="J232" s="18"/>
      <c r="K232" s="18"/>
      <c r="L232" s="18"/>
      <c r="M232" s="32" t="str">
        <f>IF(OR(K232="",L232=""),"",MATCH(K232,Lists!$C$2:$C$5,0)*MATCH(L232,Lists!$D$2:$D$6,0))</f>
        <v/>
      </c>
      <c r="N232" s="32" t="str">
        <f t="shared" si="6"/>
        <v/>
      </c>
      <c r="O232" s="32" t="str">
        <f t="shared" si="7"/>
        <v/>
      </c>
      <c r="P232" s="18"/>
      <c r="Q232" s="18"/>
      <c r="R232" s="18"/>
      <c r="S232" s="18"/>
      <c r="T232" s="18"/>
      <c r="U232" s="18"/>
      <c r="V232" s="35"/>
      <c r="W232" s="19"/>
    </row>
    <row r="233" spans="1:23" ht="112.0" customHeight="true">
      <c r="A233" s="18"/>
      <c r="B233" s="19"/>
      <c r="C233" s="18"/>
      <c r="D233" s="19"/>
      <c r="E233" s="18"/>
      <c r="F233" s="19"/>
      <c r="G233" s="19"/>
      <c r="H233" s="19"/>
      <c r="I233" s="18"/>
      <c r="J233" s="18"/>
      <c r="K233" s="18"/>
      <c r="L233" s="18"/>
      <c r="M233" s="32" t="str">
        <f>IF(OR(K233="",L233=""),"",MATCH(K233,Lists!$C$2:$C$5,0)*MATCH(L233,Lists!$D$2:$D$6,0))</f>
        <v/>
      </c>
      <c r="N233" s="32" t="str">
        <f t="shared" si="6"/>
        <v/>
      </c>
      <c r="O233" s="32" t="str">
        <f t="shared" si="7"/>
        <v/>
      </c>
      <c r="P233" s="18"/>
      <c r="Q233" s="18"/>
      <c r="R233" s="18"/>
      <c r="S233" s="18"/>
      <c r="T233" s="18"/>
      <c r="U233" s="18"/>
      <c r="V233" s="35"/>
      <c r="W233" s="19"/>
    </row>
    <row r="234" spans="1:23" ht="88.0" customHeight="true">
      <c r="A234" s="18"/>
      <c r="B234" s="19"/>
      <c r="C234" s="18"/>
      <c r="D234" s="19"/>
      <c r="E234" s="18"/>
      <c r="F234" s="19"/>
      <c r="G234" s="19"/>
      <c r="H234" s="19"/>
      <c r="I234" s="18"/>
      <c r="J234" s="18"/>
      <c r="K234" s="18"/>
      <c r="L234" s="18"/>
      <c r="M234" s="32" t="str">
        <f>IF(OR(K234="",L234=""),"",MATCH(K234,Lists!$C$2:$C$5,0)*MATCH(L234,Lists!$D$2:$D$6,0))</f>
        <v/>
      </c>
      <c r="N234" s="32" t="str">
        <f t="shared" si="6"/>
        <v/>
      </c>
      <c r="O234" s="32" t="str">
        <f t="shared" si="7"/>
        <v/>
      </c>
      <c r="P234" s="18"/>
      <c r="Q234" s="18"/>
      <c r="R234" s="18"/>
      <c r="S234" s="18"/>
      <c r="T234" s="18"/>
      <c r="U234" s="18"/>
      <c r="V234" s="35"/>
      <c r="W234" s="19"/>
    </row>
    <row r="235" spans="1:23">
      <c r="A235" s="18"/>
      <c r="B235" s="19"/>
      <c r="C235" s="18"/>
      <c r="D235" s="19"/>
      <c r="E235" s="18"/>
      <c r="F235" s="19"/>
      <c r="G235" s="19"/>
      <c r="H235" s="19"/>
      <c r="I235" s="18"/>
      <c r="J235" s="18"/>
      <c r="K235" s="18"/>
      <c r="L235" s="18"/>
      <c r="M235" s="32" t="str">
        <f>IF(OR(K235="",L235=""),"",MATCH(K235,Lists!$C$2:$C$5,0)*MATCH(L235,Lists!$D$2:$D$6,0))</f>
        <v/>
      </c>
      <c r="N235" s="32" t="str">
        <f t="shared" si="6"/>
        <v/>
      </c>
      <c r="O235" s="32" t="str">
        <f t="shared" si="7"/>
        <v/>
      </c>
      <c r="P235" s="18"/>
      <c r="Q235" s="18"/>
      <c r="R235" s="18"/>
      <c r="S235" s="18"/>
      <c r="T235" s="18"/>
      <c r="U235" s="18"/>
      <c r="V235" s="35"/>
      <c r="W235" s="19"/>
    </row>
    <row r="236" spans="1:23">
      <c r="A236" s="18"/>
      <c r="B236" s="19"/>
      <c r="C236" s="18"/>
      <c r="D236" s="19"/>
      <c r="E236" s="18"/>
      <c r="F236" s="19"/>
      <c r="G236" s="19"/>
      <c r="H236" s="19"/>
      <c r="I236" s="18"/>
      <c r="J236" s="18"/>
      <c r="K236" s="18"/>
      <c r="L236" s="18"/>
      <c r="M236" s="32" t="str">
        <f>IF(OR(K236="",L236=""),"",MATCH(K236,Lists!$C$2:$C$5,0)*MATCH(L236,Lists!$D$2:$D$6,0))</f>
        <v/>
      </c>
      <c r="N236" s="32" t="str">
        <f t="shared" si="6"/>
        <v/>
      </c>
      <c r="O236" s="32" t="str">
        <f t="shared" si="7"/>
        <v/>
      </c>
      <c r="P236" s="18"/>
      <c r="Q236" s="18"/>
      <c r="R236" s="18"/>
      <c r="S236" s="18"/>
      <c r="T236" s="18"/>
      <c r="U236" s="18"/>
      <c r="V236" s="35"/>
      <c r="W236" s="19"/>
    </row>
    <row r="237" spans="1:23">
      <c r="A237" s="18"/>
      <c r="B237" s="19"/>
      <c r="C237" s="18"/>
      <c r="D237" s="19"/>
      <c r="E237" s="18"/>
      <c r="F237" s="19"/>
      <c r="G237" s="19"/>
      <c r="H237" s="19"/>
      <c r="I237" s="18"/>
      <c r="J237" s="18"/>
      <c r="K237" s="18"/>
      <c r="L237" s="18"/>
      <c r="M237" s="32" t="str">
        <f>IF(OR(K237="",L237=""),"",MATCH(K237,Lists!$C$2:$C$5,0)*MATCH(L237,Lists!$D$2:$D$6,0))</f>
        <v/>
      </c>
      <c r="N237" s="32" t="str">
        <f t="shared" si="6"/>
        <v/>
      </c>
      <c r="O237" s="32" t="str">
        <f t="shared" si="7"/>
        <v/>
      </c>
      <c r="P237" s="18"/>
      <c r="Q237" s="18"/>
      <c r="R237" s="18"/>
      <c r="S237" s="18"/>
      <c r="T237" s="18"/>
      <c r="U237" s="18"/>
      <c r="V237" s="35"/>
      <c r="W237" s="19"/>
    </row>
    <row r="238" spans="1:23">
      <c r="A238" s="18"/>
      <c r="B238" s="19"/>
      <c r="C238" s="18"/>
      <c r="D238" s="19"/>
      <c r="E238" s="18"/>
      <c r="F238" s="19"/>
      <c r="G238" s="19"/>
      <c r="H238" s="19"/>
      <c r="I238" s="18"/>
      <c r="J238" s="18"/>
      <c r="K238" s="18"/>
      <c r="L238" s="18"/>
      <c r="M238" s="32" t="str">
        <f>IF(OR(K238="",L238=""),"",MATCH(K238,Lists!$C$2:$C$5,0)*MATCH(L238,Lists!$D$2:$D$6,0))</f>
        <v/>
      </c>
      <c r="N238" s="32" t="str">
        <f t="shared" si="6"/>
        <v/>
      </c>
      <c r="O238" s="32" t="str">
        <f t="shared" si="7"/>
        <v/>
      </c>
      <c r="P238" s="18"/>
      <c r="Q238" s="18"/>
      <c r="R238" s="18"/>
      <c r="S238" s="18"/>
      <c r="T238" s="18"/>
      <c r="U238" s="18"/>
      <c r="V238" s="35"/>
      <c r="W238" s="19"/>
    </row>
    <row r="239" spans="1:23">
      <c r="A239" s="18"/>
      <c r="B239" s="19"/>
      <c r="C239" s="18"/>
      <c r="D239" s="19"/>
      <c r="E239" s="18"/>
      <c r="F239" s="19"/>
      <c r="G239" s="19"/>
      <c r="H239" s="19"/>
      <c r="I239" s="18"/>
      <c r="J239" s="18"/>
      <c r="K239" s="18"/>
      <c r="L239" s="18"/>
      <c r="M239" s="32" t="str">
        <f>IF(OR(K239="",L239=""),"",MATCH(K239,Lists!$C$2:$C$5,0)*MATCH(L239,Lists!$D$2:$D$6,0))</f>
        <v/>
      </c>
      <c r="N239" s="32" t="str">
        <f t="shared" si="6"/>
        <v/>
      </c>
      <c r="O239" s="32" t="str">
        <f t="shared" si="7"/>
        <v/>
      </c>
      <c r="P239" s="18"/>
      <c r="Q239" s="18"/>
      <c r="R239" s="18"/>
      <c r="S239" s="18"/>
      <c r="T239" s="18"/>
      <c r="U239" s="18"/>
      <c r="V239" s="35"/>
      <c r="W239" s="19"/>
    </row>
    <row r="240" spans="1:23">
      <c r="A240" s="18"/>
      <c r="B240" s="19"/>
      <c r="C240" s="18"/>
      <c r="D240" s="19"/>
      <c r="E240" s="18"/>
      <c r="F240" s="19"/>
      <c r="G240" s="19"/>
      <c r="H240" s="19"/>
      <c r="I240" s="18"/>
      <c r="J240" s="18"/>
      <c r="K240" s="18"/>
      <c r="L240" s="18"/>
      <c r="M240" s="32" t="str">
        <f>IF(OR(K240="",L240=""),"",MATCH(K240,Lists!$C$2:$C$5,0)*MATCH(L240,Lists!$D$2:$D$6,0))</f>
        <v/>
      </c>
      <c r="N240" s="32" t="str">
        <f t="shared" si="6"/>
        <v/>
      </c>
      <c r="O240" s="32" t="str">
        <f t="shared" si="7"/>
        <v/>
      </c>
      <c r="P240" s="18"/>
      <c r="Q240" s="18"/>
      <c r="R240" s="18"/>
      <c r="S240" s="18"/>
      <c r="T240" s="18"/>
      <c r="U240" s="18"/>
      <c r="V240" s="35"/>
      <c r="W240" s="19"/>
    </row>
    <row r="241" spans="1:23">
      <c r="A241" s="18"/>
      <c r="B241" s="19"/>
      <c r="C241" s="18"/>
      <c r="D241" s="19"/>
      <c r="E241" s="18"/>
      <c r="F241" s="19"/>
      <c r="G241" s="19"/>
      <c r="H241" s="19"/>
      <c r="I241" s="18"/>
      <c r="J241" s="18"/>
      <c r="K241" s="18"/>
      <c r="L241" s="18"/>
      <c r="M241" s="32" t="str">
        <f>IF(OR(K241="",L241=""),"",MATCH(K241,Lists!$C$2:$C$5,0)*MATCH(L241,Lists!$D$2:$D$6,0))</f>
        <v/>
      </c>
      <c r="N241" s="32" t="str">
        <f t="shared" si="6"/>
        <v/>
      </c>
      <c r="O241" s="32" t="str">
        <f t="shared" si="7"/>
        <v/>
      </c>
      <c r="P241" s="18"/>
      <c r="Q241" s="18"/>
      <c r="R241" s="18"/>
      <c r="S241" s="18"/>
      <c r="T241" s="18"/>
      <c r="U241" s="18"/>
      <c r="V241" s="35"/>
      <c r="W241" s="19"/>
    </row>
    <row r="242" spans="1:23">
      <c r="A242" s="18"/>
      <c r="B242" s="19"/>
      <c r="C242" s="18"/>
      <c r="D242" s="19"/>
      <c r="E242" s="18"/>
      <c r="F242" s="19"/>
      <c r="G242" s="19"/>
      <c r="H242" s="19"/>
      <c r="I242" s="18"/>
      <c r="J242" s="18"/>
      <c r="K242" s="18"/>
      <c r="L242" s="18"/>
      <c r="M242" s="32" t="str">
        <f>IF(OR(K242="",L242=""),"",MATCH(K242,Lists!$C$2:$C$5,0)*MATCH(L242,Lists!$D$2:$D$6,0))</f>
        <v/>
      </c>
      <c r="N242" s="32" t="str">
        <f t="shared" si="6"/>
        <v/>
      </c>
      <c r="O242" s="32" t="str">
        <f t="shared" si="7"/>
        <v/>
      </c>
      <c r="P242" s="18"/>
      <c r="Q242" s="18"/>
      <c r="R242" s="18"/>
      <c r="S242" s="18"/>
      <c r="T242" s="18"/>
      <c r="U242" s="18"/>
      <c r="V242" s="35"/>
      <c r="W242" s="19"/>
    </row>
    <row r="243" spans="1:23">
      <c r="A243" s="18"/>
      <c r="B243" s="19"/>
      <c r="C243" s="18"/>
      <c r="D243" s="19"/>
      <c r="E243" s="18"/>
      <c r="F243" s="19"/>
      <c r="G243" s="19"/>
      <c r="H243" s="19"/>
      <c r="I243" s="18"/>
      <c r="J243" s="18"/>
      <c r="K243" s="18"/>
      <c r="L243" s="18"/>
      <c r="M243" s="32" t="str">
        <f>IF(OR(K243="",L243=""),"",MATCH(K243,Lists!$C$2:$C$5,0)*MATCH(L243,Lists!$D$2:$D$6,0))</f>
        <v/>
      </c>
      <c r="N243" s="32" t="str">
        <f t="shared" si="6"/>
        <v/>
      </c>
      <c r="O243" s="32" t="str">
        <f t="shared" si="7"/>
        <v/>
      </c>
      <c r="P243" s="18"/>
      <c r="Q243" s="18"/>
      <c r="R243" s="18"/>
      <c r="S243" s="18"/>
      <c r="T243" s="18"/>
      <c r="U243" s="18"/>
      <c r="V243" s="35"/>
      <c r="W243" s="19"/>
    </row>
    <row r="244" spans="1:23">
      <c r="A244" s="18"/>
      <c r="B244" s="19"/>
      <c r="C244" s="18"/>
      <c r="D244" s="19"/>
      <c r="E244" s="18"/>
      <c r="F244" s="19"/>
      <c r="G244" s="19"/>
      <c r="H244" s="19"/>
      <c r="I244" s="18"/>
      <c r="J244" s="18"/>
      <c r="K244" s="18"/>
      <c r="L244" s="18"/>
      <c r="M244" s="32" t="str">
        <f>IF(OR(K244="",L244=""),"",MATCH(K244,Lists!$C$2:$C$5,0)*MATCH(L244,Lists!$D$2:$D$6,0))</f>
        <v/>
      </c>
      <c r="N244" s="32" t="str">
        <f t="shared" si="6"/>
        <v/>
      </c>
      <c r="O244" s="32" t="str">
        <f t="shared" si="7"/>
        <v/>
      </c>
      <c r="P244" s="18"/>
      <c r="Q244" s="18"/>
      <c r="R244" s="18"/>
      <c r="S244" s="18"/>
      <c r="T244" s="18"/>
      <c r="U244" s="18"/>
      <c r="V244" s="35"/>
      <c r="W244" s="19"/>
    </row>
    <row r="245" spans="1:23">
      <c r="A245" s="18"/>
      <c r="B245" s="19"/>
      <c r="C245" s="18"/>
      <c r="D245" s="19"/>
      <c r="E245" s="18"/>
      <c r="F245" s="19"/>
      <c r="G245" s="19"/>
      <c r="H245" s="19"/>
      <c r="I245" s="18"/>
      <c r="J245" s="18"/>
      <c r="K245" s="18"/>
      <c r="L245" s="18"/>
      <c r="M245" s="32" t="str">
        <f>IF(OR(K245="",L245=""),"",MATCH(K245,Lists!$C$2:$C$5,0)*MATCH(L245,Lists!$D$2:$D$6,0))</f>
        <v/>
      </c>
      <c r="N245" s="32" t="str">
        <f t="shared" si="6"/>
        <v/>
      </c>
      <c r="O245" s="32" t="str">
        <f t="shared" si="7"/>
        <v/>
      </c>
      <c r="P245" s="18"/>
      <c r="Q245" s="18"/>
      <c r="R245" s="18"/>
      <c r="S245" s="18"/>
      <c r="T245" s="18"/>
      <c r="U245" s="18"/>
      <c r="V245" s="35"/>
      <c r="W245" s="19"/>
    </row>
    <row r="246" spans="1:23">
      <c r="A246" s="18"/>
      <c r="B246" s="19"/>
      <c r="C246" s="18"/>
      <c r="D246" s="19"/>
      <c r="E246" s="18"/>
      <c r="F246" s="19"/>
      <c r="G246" s="19"/>
      <c r="H246" s="19"/>
      <c r="I246" s="18"/>
      <c r="J246" s="18"/>
      <c r="K246" s="18"/>
      <c r="L246" s="18"/>
      <c r="M246" s="32" t="str">
        <f>IF(OR(K246="",L246=""),"",MATCH(K246,Lists!$C$2:$C$5,0)*MATCH(L246,Lists!$D$2:$D$6,0))</f>
        <v/>
      </c>
      <c r="N246" s="32" t="str">
        <f t="shared" si="6"/>
        <v/>
      </c>
      <c r="O246" s="32" t="str">
        <f t="shared" si="7"/>
        <v/>
      </c>
      <c r="P246" s="18"/>
      <c r="Q246" s="18"/>
      <c r="R246" s="18"/>
      <c r="S246" s="18"/>
      <c r="T246" s="18"/>
      <c r="U246" s="18"/>
      <c r="V246" s="35"/>
      <c r="W246" s="19"/>
    </row>
    <row r="247" spans="1:23">
      <c r="A247" s="18"/>
      <c r="B247" s="19"/>
      <c r="C247" s="18"/>
      <c r="D247" s="19"/>
      <c r="E247" s="18"/>
      <c r="F247" s="19"/>
      <c r="G247" s="19"/>
      <c r="H247" s="19"/>
      <c r="I247" s="18"/>
      <c r="J247" s="18"/>
      <c r="K247" s="18"/>
      <c r="L247" s="18"/>
      <c r="M247" s="32" t="str">
        <f>IF(OR(K247="",L247=""),"",MATCH(K247,Lists!$C$2:$C$5,0)*MATCH(L247,Lists!$D$2:$D$6,0))</f>
        <v/>
      </c>
      <c r="N247" s="32" t="str">
        <f t="shared" si="6"/>
        <v/>
      </c>
      <c r="O247" s="32" t="str">
        <f t="shared" si="7"/>
        <v/>
      </c>
      <c r="P247" s="18"/>
      <c r="Q247" s="18"/>
      <c r="R247" s="18"/>
      <c r="S247" s="18"/>
      <c r="T247" s="18"/>
      <c r="U247" s="18"/>
      <c r="V247" s="35"/>
      <c r="W247" s="19"/>
    </row>
    <row r="248" spans="1:23">
      <c r="A248" s="18"/>
      <c r="B248" s="19"/>
      <c r="C248" s="18"/>
      <c r="D248" s="19"/>
      <c r="E248" s="18"/>
      <c r="F248" s="19"/>
      <c r="G248" s="19"/>
      <c r="H248" s="19"/>
      <c r="I248" s="18"/>
      <c r="J248" s="18"/>
      <c r="K248" s="18"/>
      <c r="L248" s="18"/>
      <c r="M248" s="32" t="str">
        <f>IF(OR(K248="",L248=""),"",MATCH(K248,Lists!$C$2:$C$5,0)*MATCH(L248,Lists!$D$2:$D$6,0))</f>
        <v/>
      </c>
      <c r="N248" s="32" t="str">
        <f t="shared" si="6"/>
        <v/>
      </c>
      <c r="O248" s="32" t="str">
        <f t="shared" si="7"/>
        <v/>
      </c>
      <c r="P248" s="18"/>
      <c r="Q248" s="18"/>
      <c r="R248" s="18"/>
      <c r="S248" s="18"/>
      <c r="T248" s="18"/>
      <c r="U248" s="18"/>
      <c r="V248" s="35"/>
      <c r="W248" s="19"/>
    </row>
    <row r="249" spans="1:23">
      <c r="A249" s="18"/>
      <c r="B249" s="19"/>
      <c r="C249" s="18"/>
      <c r="D249" s="19"/>
      <c r="E249" s="18"/>
      <c r="F249" s="19"/>
      <c r="G249" s="19"/>
      <c r="H249" s="19"/>
      <c r="I249" s="18"/>
      <c r="J249" s="18"/>
      <c r="K249" s="18"/>
      <c r="L249" s="18"/>
      <c r="M249" s="32" t="str">
        <f>IF(OR(K249="",L249=""),"",MATCH(K249,Lists!$C$2:$C$5,0)*MATCH(L249,Lists!$D$2:$D$6,0))</f>
        <v/>
      </c>
      <c r="N249" s="32" t="str">
        <f t="shared" si="6"/>
        <v/>
      </c>
      <c r="O249" s="32" t="str">
        <f t="shared" si="7"/>
        <v/>
      </c>
      <c r="P249" s="18"/>
      <c r="Q249" s="18"/>
      <c r="R249" s="18"/>
      <c r="S249" s="18"/>
      <c r="T249" s="18"/>
      <c r="U249" s="18"/>
      <c r="V249" s="35"/>
      <c r="W249" s="19"/>
    </row>
    <row r="250" spans="1:23">
      <c r="A250" s="18"/>
      <c r="B250" s="19"/>
      <c r="C250" s="18"/>
      <c r="D250" s="19"/>
      <c r="E250" s="18"/>
      <c r="F250" s="19"/>
      <c r="G250" s="19"/>
      <c r="H250" s="19"/>
      <c r="I250" s="18"/>
      <c r="J250" s="18"/>
      <c r="K250" s="18"/>
      <c r="L250" s="18"/>
      <c r="M250" s="32" t="str">
        <f>IF(OR(K250="",L250=""),"",MATCH(K250,Lists!$C$2:$C$5,0)*MATCH(L250,Lists!$D$2:$D$6,0))</f>
        <v/>
      </c>
      <c r="N250" s="32" t="str">
        <f t="shared" si="6"/>
        <v/>
      </c>
      <c r="O250" s="32" t="str">
        <f t="shared" si="7"/>
        <v/>
      </c>
      <c r="P250" s="18"/>
      <c r="Q250" s="18"/>
      <c r="R250" s="18"/>
      <c r="S250" s="18"/>
      <c r="T250" s="18"/>
      <c r="U250" s="18"/>
      <c r="V250" s="35"/>
      <c r="W250" s="19"/>
    </row>
    <row r="251" spans="1:23">
      <c r="A251" s="18"/>
      <c r="B251" s="19"/>
      <c r="C251" s="18"/>
      <c r="D251" s="19"/>
      <c r="E251" s="18"/>
      <c r="F251" s="19"/>
      <c r="G251" s="19"/>
      <c r="H251" s="19"/>
      <c r="I251" s="18"/>
      <c r="J251" s="18"/>
      <c r="K251" s="18"/>
      <c r="L251" s="18"/>
      <c r="M251" s="32" t="str">
        <f>IF(OR(K251="",L251=""),"",MATCH(K251,Lists!$C$2:$C$5,0)*MATCH(L251,Lists!$D$2:$D$6,0))</f>
        <v/>
      </c>
      <c r="N251" s="32" t="str">
        <f t="shared" si="6"/>
        <v/>
      </c>
      <c r="O251" s="32" t="str">
        <f t="shared" si="7"/>
        <v/>
      </c>
      <c r="P251" s="18"/>
      <c r="Q251" s="18"/>
      <c r="R251" s="18"/>
      <c r="S251" s="18"/>
      <c r="T251" s="18"/>
      <c r="U251" s="18"/>
      <c r="V251" s="35"/>
      <c r="W251" s="19"/>
    </row>
    <row r="252" spans="1:23">
      <c r="A252" s="18"/>
      <c r="B252" s="19"/>
      <c r="C252" s="18"/>
      <c r="D252" s="19"/>
      <c r="E252" s="18"/>
      <c r="F252" s="19"/>
      <c r="G252" s="19"/>
      <c r="H252" s="19"/>
      <c r="I252" s="18"/>
      <c r="J252" s="18"/>
      <c r="K252" s="18"/>
      <c r="L252" s="18"/>
      <c r="M252" s="32" t="str">
        <f>IF(OR(K252="",L252=""),"",MATCH(K252,Lists!$C$2:$C$5,0)*MATCH(L252,Lists!$D$2:$D$6,0))</f>
        <v/>
      </c>
      <c r="N252" s="32" t="str">
        <f t="shared" si="6"/>
        <v/>
      </c>
      <c r="O252" s="32" t="str">
        <f t="shared" si="7"/>
        <v/>
      </c>
      <c r="P252" s="18"/>
      <c r="Q252" s="18"/>
      <c r="R252" s="18"/>
      <c r="S252" s="18"/>
      <c r="T252" s="18"/>
      <c r="U252" s="18"/>
      <c r="V252" s="35"/>
      <c r="W252" s="19"/>
    </row>
    <row r="253" spans="1:23">
      <c r="A253" s="18"/>
      <c r="B253" s="19"/>
      <c r="C253" s="18"/>
      <c r="D253" s="19"/>
      <c r="E253" s="18"/>
      <c r="F253" s="19"/>
      <c r="G253" s="19"/>
      <c r="H253" s="19"/>
      <c r="I253" s="18"/>
      <c r="J253" s="18"/>
      <c r="K253" s="18"/>
      <c r="L253" s="18"/>
      <c r="M253" s="32" t="str">
        <f>IF(OR(K253="",L253=""),"",MATCH(K253,Lists!$C$2:$C$5,0)*MATCH(L253,Lists!$D$2:$D$6,0))</f>
        <v/>
      </c>
      <c r="N253" s="32" t="str">
        <f t="shared" si="6"/>
        <v/>
      </c>
      <c r="O253" s="32" t="str">
        <f t="shared" si="7"/>
        <v/>
      </c>
      <c r="P253" s="18"/>
      <c r="Q253" s="18"/>
      <c r="R253" s="18"/>
      <c r="S253" s="18"/>
      <c r="T253" s="18"/>
      <c r="U253" s="18"/>
      <c r="V253" s="35"/>
      <c r="W253" s="19"/>
    </row>
    <row r="254" spans="1:23">
      <c r="A254" s="18"/>
      <c r="B254" s="19"/>
      <c r="C254" s="18"/>
      <c r="D254" s="19"/>
      <c r="E254" s="18"/>
      <c r="F254" s="19"/>
      <c r="G254" s="19"/>
      <c r="H254" s="19"/>
      <c r="I254" s="18"/>
      <c r="J254" s="18"/>
      <c r="K254" s="18"/>
      <c r="L254" s="18"/>
      <c r="M254" s="32" t="str">
        <f>IF(OR(K254="",L254=""),"",MATCH(K254,Lists!$C$2:$C$5,0)*MATCH(L254,Lists!$D$2:$D$6,0))</f>
        <v/>
      </c>
      <c r="N254" s="32" t="str">
        <f t="shared" si="6"/>
        <v/>
      </c>
      <c r="O254" s="32" t="str">
        <f t="shared" si="7"/>
        <v/>
      </c>
      <c r="P254" s="18"/>
      <c r="Q254" s="18"/>
      <c r="R254" s="18"/>
      <c r="S254" s="18"/>
      <c r="T254" s="18"/>
      <c r="U254" s="18"/>
      <c r="V254" s="35"/>
      <c r="W254" s="19"/>
    </row>
    <row r="255" spans="1:23">
      <c r="A255" s="18"/>
      <c r="B255" s="19"/>
      <c r="C255" s="18"/>
      <c r="D255" s="19"/>
      <c r="E255" s="18"/>
      <c r="F255" s="19"/>
      <c r="G255" s="19"/>
      <c r="H255" s="19"/>
      <c r="I255" s="18"/>
      <c r="J255" s="18"/>
      <c r="K255" s="18"/>
      <c r="L255" s="18"/>
      <c r="M255" s="32" t="str">
        <f>IF(OR(K255="",L255=""),"",MATCH(K255,Lists!$C$2:$C$5,0)*MATCH(L255,Lists!$D$2:$D$6,0))</f>
        <v/>
      </c>
      <c r="N255" s="32" t="str">
        <f t="shared" si="6"/>
        <v/>
      </c>
      <c r="O255" s="32" t="str">
        <f t="shared" si="7"/>
        <v/>
      </c>
      <c r="P255" s="18"/>
      <c r="Q255" s="18"/>
      <c r="R255" s="18"/>
      <c r="S255" s="18"/>
      <c r="T255" s="18"/>
      <c r="U255" s="18"/>
      <c r="V255" s="35"/>
      <c r="W255" s="19"/>
    </row>
    <row r="256" spans="1:23">
      <c r="A256" s="18"/>
      <c r="B256" s="19"/>
      <c r="C256" s="18"/>
      <c r="D256" s="19"/>
      <c r="E256" s="18"/>
      <c r="F256" s="19"/>
      <c r="G256" s="19"/>
      <c r="H256" s="19"/>
      <c r="I256" s="18"/>
      <c r="J256" s="18"/>
      <c r="K256" s="18"/>
      <c r="L256" s="18"/>
      <c r="M256" s="32" t="str">
        <f>IF(OR(K256="",L256=""),"",MATCH(K256,Lists!$C$2:$C$5,0)*MATCH(L256,Lists!$D$2:$D$6,0))</f>
        <v/>
      </c>
      <c r="N256" s="32" t="str">
        <f t="shared" si="6"/>
        <v/>
      </c>
      <c r="O256" s="32" t="str">
        <f t="shared" si="7"/>
        <v/>
      </c>
      <c r="P256" s="18"/>
      <c r="Q256" s="18"/>
      <c r="R256" s="18"/>
      <c r="S256" s="18"/>
      <c r="T256" s="18"/>
      <c r="U256" s="18"/>
      <c r="V256" s="35"/>
      <c r="W256" s="19"/>
    </row>
    <row r="257" spans="1:23">
      <c r="A257" s="18"/>
      <c r="B257" s="19"/>
      <c r="C257" s="18"/>
      <c r="D257" s="19"/>
      <c r="E257" s="18"/>
      <c r="F257" s="19"/>
      <c r="G257" s="19"/>
      <c r="H257" s="19"/>
      <c r="I257" s="18"/>
      <c r="J257" s="18"/>
      <c r="K257" s="18"/>
      <c r="L257" s="18"/>
      <c r="M257" s="32" t="str">
        <f>IF(OR(K257="",L257=""),"",MATCH(K257,Lists!$C$2:$C$5,0)*MATCH(L257,Lists!$D$2:$D$6,0))</f>
        <v/>
      </c>
      <c r="N257" s="32" t="str">
        <f t="shared" si="6"/>
        <v/>
      </c>
      <c r="O257" s="32" t="str">
        <f t="shared" si="7"/>
        <v/>
      </c>
      <c r="P257" s="18"/>
      <c r="Q257" s="18"/>
      <c r="R257" s="18"/>
      <c r="S257" s="18"/>
      <c r="T257" s="18"/>
      <c r="U257" s="18"/>
      <c r="V257" s="35"/>
      <c r="W257" s="19"/>
    </row>
    <row r="258" spans="1:23">
      <c r="A258" s="18"/>
      <c r="B258" s="19"/>
      <c r="C258" s="18"/>
      <c r="D258" s="19"/>
      <c r="E258" s="18"/>
      <c r="F258" s="19"/>
      <c r="G258" s="19"/>
      <c r="H258" s="19"/>
      <c r="I258" s="18"/>
      <c r="J258" s="18"/>
      <c r="K258" s="18"/>
      <c r="L258" s="18"/>
      <c r="M258" s="32" t="str">
        <f>IF(OR(K258="",L258=""),"",MATCH(K258,Lists!$C$2:$C$5,0)*MATCH(L258,Lists!$D$2:$D$6,0))</f>
        <v/>
      </c>
      <c r="N258" s="32" t="str">
        <f t="shared" ref="N258:N321" si="8">IF(M258="","",IF(M258&gt;=12,"Critical",IF(M258&gt;=8,"High",IF(M258&gt;=4,"Medium","Low"))))</f>
        <v/>
      </c>
      <c r="O258" s="32" t="str">
        <f t="shared" ref="O258:O321" si="9">IF(N258="","",IF(N258="Critical","P1",IF(N258="High","P2",IF(N258="Medium","P3","P4"))))</f>
        <v/>
      </c>
      <c r="P258" s="18"/>
      <c r="Q258" s="18"/>
      <c r="R258" s="18"/>
      <c r="S258" s="18"/>
      <c r="T258" s="18"/>
      <c r="U258" s="18"/>
      <c r="V258" s="35"/>
      <c r="W258" s="19"/>
    </row>
    <row r="259" spans="1:23">
      <c r="A259" s="18"/>
      <c r="B259" s="19"/>
      <c r="C259" s="18"/>
      <c r="D259" s="19"/>
      <c r="E259" s="18"/>
      <c r="F259" s="19"/>
      <c r="G259" s="19"/>
      <c r="H259" s="19"/>
      <c r="I259" s="18"/>
      <c r="J259" s="18"/>
      <c r="K259" s="18"/>
      <c r="L259" s="18"/>
      <c r="M259" s="32" t="str">
        <f>IF(OR(K259="",L259=""),"",MATCH(K259,Lists!$C$2:$C$5,0)*MATCH(L259,Lists!$D$2:$D$6,0))</f>
        <v/>
      </c>
      <c r="N259" s="32" t="str">
        <f t="shared" si="8"/>
        <v/>
      </c>
      <c r="O259" s="32" t="str">
        <f t="shared" si="9"/>
        <v/>
      </c>
      <c r="P259" s="18"/>
      <c r="Q259" s="18"/>
      <c r="R259" s="18"/>
      <c r="S259" s="18"/>
      <c r="T259" s="18"/>
      <c r="U259" s="18"/>
      <c r="V259" s="35"/>
      <c r="W259" s="19"/>
    </row>
    <row r="260" spans="1:23">
      <c r="A260" s="18"/>
      <c r="B260" s="19"/>
      <c r="C260" s="18"/>
      <c r="D260" s="19"/>
      <c r="E260" s="18"/>
      <c r="F260" s="19"/>
      <c r="G260" s="19"/>
      <c r="H260" s="19"/>
      <c r="I260" s="18"/>
      <c r="J260" s="18"/>
      <c r="K260" s="18"/>
      <c r="L260" s="18"/>
      <c r="M260" s="32" t="str">
        <f>IF(OR(K260="",L260=""),"",MATCH(K260,Lists!$C$2:$C$5,0)*MATCH(L260,Lists!$D$2:$D$6,0))</f>
        <v/>
      </c>
      <c r="N260" s="32" t="str">
        <f t="shared" si="8"/>
        <v/>
      </c>
      <c r="O260" s="32" t="str">
        <f t="shared" si="9"/>
        <v/>
      </c>
      <c r="P260" s="18"/>
      <c r="Q260" s="18"/>
      <c r="R260" s="18"/>
      <c r="S260" s="18"/>
      <c r="T260" s="18"/>
      <c r="U260" s="18"/>
      <c r="V260" s="35"/>
      <c r="W260" s="19"/>
    </row>
    <row r="261" spans="1:23">
      <c r="A261" s="18"/>
      <c r="B261" s="19"/>
      <c r="C261" s="18"/>
      <c r="D261" s="19"/>
      <c r="E261" s="18"/>
      <c r="F261" s="19"/>
      <c r="G261" s="19"/>
      <c r="H261" s="19"/>
      <c r="I261" s="18"/>
      <c r="J261" s="18"/>
      <c r="K261" s="18"/>
      <c r="L261" s="18"/>
      <c r="M261" s="32" t="str">
        <f>IF(OR(K261="",L261=""),"",MATCH(K261,Lists!$C$2:$C$5,0)*MATCH(L261,Lists!$D$2:$D$6,0))</f>
        <v/>
      </c>
      <c r="N261" s="32" t="str">
        <f t="shared" si="8"/>
        <v/>
      </c>
      <c r="O261" s="32" t="str">
        <f t="shared" si="9"/>
        <v/>
      </c>
      <c r="P261" s="18"/>
      <c r="Q261" s="18"/>
      <c r="R261" s="18"/>
      <c r="S261" s="18"/>
      <c r="T261" s="18"/>
      <c r="U261" s="18"/>
      <c r="V261" s="35"/>
      <c r="W261" s="19"/>
    </row>
    <row r="262" spans="1:23">
      <c r="A262" s="18"/>
      <c r="B262" s="19"/>
      <c r="C262" s="18"/>
      <c r="D262" s="19"/>
      <c r="E262" s="18"/>
      <c r="F262" s="19"/>
      <c r="G262" s="19"/>
      <c r="H262" s="19"/>
      <c r="I262" s="18"/>
      <c r="J262" s="18"/>
      <c r="K262" s="18"/>
      <c r="L262" s="18"/>
      <c r="M262" s="32" t="str">
        <f>IF(OR(K262="",L262=""),"",MATCH(K262,Lists!$C$2:$C$5,0)*MATCH(L262,Lists!$D$2:$D$6,0))</f>
        <v/>
      </c>
      <c r="N262" s="32" t="str">
        <f t="shared" si="8"/>
        <v/>
      </c>
      <c r="O262" s="32" t="str">
        <f t="shared" si="9"/>
        <v/>
      </c>
      <c r="P262" s="18"/>
      <c r="Q262" s="18"/>
      <c r="R262" s="18"/>
      <c r="S262" s="18"/>
      <c r="T262" s="18"/>
      <c r="U262" s="18"/>
      <c r="V262" s="35"/>
      <c r="W262" s="19"/>
    </row>
    <row r="263" spans="1:23">
      <c r="A263" s="18"/>
      <c r="B263" s="19"/>
      <c r="C263" s="18"/>
      <c r="D263" s="19"/>
      <c r="E263" s="18"/>
      <c r="F263" s="19"/>
      <c r="G263" s="19"/>
      <c r="H263" s="19"/>
      <c r="I263" s="18"/>
      <c r="J263" s="18"/>
      <c r="K263" s="18"/>
      <c r="L263" s="18"/>
      <c r="M263" s="32" t="str">
        <f>IF(OR(K263="",L263=""),"",MATCH(K263,Lists!$C$2:$C$5,0)*MATCH(L263,Lists!$D$2:$D$6,0))</f>
        <v/>
      </c>
      <c r="N263" s="32" t="str">
        <f t="shared" si="8"/>
        <v/>
      </c>
      <c r="O263" s="32" t="str">
        <f t="shared" si="9"/>
        <v/>
      </c>
      <c r="P263" s="18"/>
      <c r="Q263" s="18"/>
      <c r="R263" s="18"/>
      <c r="S263" s="18"/>
      <c r="T263" s="18"/>
      <c r="U263" s="18"/>
      <c r="V263" s="35"/>
      <c r="W263" s="19"/>
    </row>
    <row r="264" spans="1:23">
      <c r="A264" s="18"/>
      <c r="B264" s="19"/>
      <c r="C264" s="18"/>
      <c r="D264" s="19"/>
      <c r="E264" s="18"/>
      <c r="F264" s="19"/>
      <c r="G264" s="19"/>
      <c r="H264" s="19"/>
      <c r="I264" s="18"/>
      <c r="J264" s="18"/>
      <c r="K264" s="18"/>
      <c r="L264" s="18"/>
      <c r="M264" s="32" t="str">
        <f>IF(OR(K264="",L264=""),"",MATCH(K264,Lists!$C$2:$C$5,0)*MATCH(L264,Lists!$D$2:$D$6,0))</f>
        <v/>
      </c>
      <c r="N264" s="32" t="str">
        <f t="shared" si="8"/>
        <v/>
      </c>
      <c r="O264" s="32" t="str">
        <f t="shared" si="9"/>
        <v/>
      </c>
      <c r="P264" s="18"/>
      <c r="Q264" s="18"/>
      <c r="R264" s="18"/>
      <c r="S264" s="18"/>
      <c r="T264" s="18"/>
      <c r="U264" s="18"/>
      <c r="V264" s="35"/>
      <c r="W264" s="19"/>
    </row>
    <row r="265" spans="1:23">
      <c r="A265" s="18"/>
      <c r="B265" s="19"/>
      <c r="C265" s="18"/>
      <c r="D265" s="19"/>
      <c r="E265" s="18"/>
      <c r="F265" s="19"/>
      <c r="G265" s="19"/>
      <c r="H265" s="19"/>
      <c r="I265" s="18"/>
      <c r="J265" s="18"/>
      <c r="K265" s="18"/>
      <c r="L265" s="18"/>
      <c r="M265" s="32" t="str">
        <f>IF(OR(K265="",L265=""),"",MATCH(K265,Lists!$C$2:$C$5,0)*MATCH(L265,Lists!$D$2:$D$6,0))</f>
        <v/>
      </c>
      <c r="N265" s="32" t="str">
        <f t="shared" si="8"/>
        <v/>
      </c>
      <c r="O265" s="32" t="str">
        <f t="shared" si="9"/>
        <v/>
      </c>
      <c r="P265" s="18"/>
      <c r="Q265" s="18"/>
      <c r="R265" s="18"/>
      <c r="S265" s="18"/>
      <c r="T265" s="18"/>
      <c r="U265" s="18"/>
      <c r="V265" s="35"/>
      <c r="W265" s="19"/>
    </row>
    <row r="266" spans="1:23">
      <c r="A266" s="18"/>
      <c r="B266" s="19"/>
      <c r="C266" s="18"/>
      <c r="D266" s="19"/>
      <c r="E266" s="18"/>
      <c r="F266" s="19"/>
      <c r="G266" s="19"/>
      <c r="H266" s="19"/>
      <c r="I266" s="18"/>
      <c r="J266" s="18"/>
      <c r="K266" s="18"/>
      <c r="L266" s="18"/>
      <c r="M266" s="32" t="str">
        <f>IF(OR(K266="",L266=""),"",MATCH(K266,Lists!$C$2:$C$5,0)*MATCH(L266,Lists!$D$2:$D$6,0))</f>
        <v/>
      </c>
      <c r="N266" s="32" t="str">
        <f t="shared" si="8"/>
        <v/>
      </c>
      <c r="O266" s="32" t="str">
        <f t="shared" si="9"/>
        <v/>
      </c>
      <c r="P266" s="18"/>
      <c r="Q266" s="18"/>
      <c r="R266" s="18"/>
      <c r="S266" s="18"/>
      <c r="T266" s="18"/>
      <c r="U266" s="18"/>
      <c r="V266" s="35"/>
      <c r="W266" s="19"/>
    </row>
    <row r="267" spans="1:23">
      <c r="A267" s="18"/>
      <c r="B267" s="19"/>
      <c r="C267" s="18"/>
      <c r="D267" s="19"/>
      <c r="E267" s="18"/>
      <c r="F267" s="19"/>
      <c r="G267" s="19"/>
      <c r="H267" s="19"/>
      <c r="I267" s="18"/>
      <c r="J267" s="18"/>
      <c r="K267" s="18"/>
      <c r="L267" s="18"/>
      <c r="M267" s="32" t="str">
        <f>IF(OR(K267="",L267=""),"",MATCH(K267,Lists!$C$2:$C$5,0)*MATCH(L267,Lists!$D$2:$D$6,0))</f>
        <v/>
      </c>
      <c r="N267" s="32" t="str">
        <f t="shared" si="8"/>
        <v/>
      </c>
      <c r="O267" s="32" t="str">
        <f t="shared" si="9"/>
        <v/>
      </c>
      <c r="P267" s="18"/>
      <c r="Q267" s="18"/>
      <c r="R267" s="18"/>
      <c r="S267" s="18"/>
      <c r="T267" s="18"/>
      <c r="U267" s="18"/>
      <c r="V267" s="35"/>
      <c r="W267" s="19"/>
    </row>
    <row r="268" spans="1:23">
      <c r="A268" s="18"/>
      <c r="B268" s="19"/>
      <c r="C268" s="18"/>
      <c r="D268" s="19"/>
      <c r="E268" s="18"/>
      <c r="F268" s="19"/>
      <c r="G268" s="19"/>
      <c r="H268" s="19"/>
      <c r="I268" s="18"/>
      <c r="J268" s="18"/>
      <c r="K268" s="18"/>
      <c r="L268" s="18"/>
      <c r="M268" s="32" t="str">
        <f>IF(OR(K268="",L268=""),"",MATCH(K268,Lists!$C$2:$C$5,0)*MATCH(L268,Lists!$D$2:$D$6,0))</f>
        <v/>
      </c>
      <c r="N268" s="32" t="str">
        <f t="shared" si="8"/>
        <v/>
      </c>
      <c r="O268" s="32" t="str">
        <f t="shared" si="9"/>
        <v/>
      </c>
      <c r="P268" s="18"/>
      <c r="Q268" s="18"/>
      <c r="R268" s="18"/>
      <c r="S268" s="18"/>
      <c r="T268" s="18"/>
      <c r="U268" s="18"/>
      <c r="V268" s="35"/>
      <c r="W268" s="19"/>
    </row>
    <row r="269" spans="1:23">
      <c r="A269" s="18"/>
      <c r="B269" s="19"/>
      <c r="C269" s="18"/>
      <c r="D269" s="19"/>
      <c r="E269" s="18"/>
      <c r="F269" s="19"/>
      <c r="G269" s="19"/>
      <c r="H269" s="19"/>
      <c r="I269" s="18"/>
      <c r="J269" s="18"/>
      <c r="K269" s="18"/>
      <c r="L269" s="18"/>
      <c r="M269" s="32" t="str">
        <f>IF(OR(K269="",L269=""),"",MATCH(K269,Lists!$C$2:$C$5,0)*MATCH(L269,Lists!$D$2:$D$6,0))</f>
        <v/>
      </c>
      <c r="N269" s="32" t="str">
        <f t="shared" si="8"/>
        <v/>
      </c>
      <c r="O269" s="32" t="str">
        <f t="shared" si="9"/>
        <v/>
      </c>
      <c r="P269" s="18"/>
      <c r="Q269" s="18"/>
      <c r="R269" s="18"/>
      <c r="S269" s="18"/>
      <c r="T269" s="18"/>
      <c r="U269" s="18"/>
      <c r="V269" s="35"/>
      <c r="W269" s="19"/>
    </row>
    <row r="270" spans="1:23">
      <c r="A270" s="18"/>
      <c r="B270" s="19"/>
      <c r="C270" s="18"/>
      <c r="D270" s="19"/>
      <c r="E270" s="18"/>
      <c r="F270" s="19"/>
      <c r="G270" s="19"/>
      <c r="H270" s="19"/>
      <c r="I270" s="18"/>
      <c r="J270" s="18"/>
      <c r="K270" s="18"/>
      <c r="L270" s="18"/>
      <c r="M270" s="32" t="str">
        <f>IF(OR(K270="",L270=""),"",MATCH(K270,Lists!$C$2:$C$5,0)*MATCH(L270,Lists!$D$2:$D$6,0))</f>
        <v/>
      </c>
      <c r="N270" s="32" t="str">
        <f t="shared" si="8"/>
        <v/>
      </c>
      <c r="O270" s="32" t="str">
        <f t="shared" si="9"/>
        <v/>
      </c>
      <c r="P270" s="18"/>
      <c r="Q270" s="18"/>
      <c r="R270" s="18"/>
      <c r="S270" s="18"/>
      <c r="T270" s="18"/>
      <c r="U270" s="18"/>
      <c r="V270" s="35"/>
      <c r="W270" s="19"/>
    </row>
    <row r="271" spans="1:23">
      <c r="A271" s="18"/>
      <c r="B271" s="19"/>
      <c r="C271" s="18"/>
      <c r="D271" s="19"/>
      <c r="E271" s="18"/>
      <c r="F271" s="19"/>
      <c r="G271" s="19"/>
      <c r="H271" s="19"/>
      <c r="I271" s="18"/>
      <c r="J271" s="18"/>
      <c r="K271" s="18"/>
      <c r="L271" s="18"/>
      <c r="M271" s="32" t="str">
        <f>IF(OR(K271="",L271=""),"",MATCH(K271,Lists!$C$2:$C$5,0)*MATCH(L271,Lists!$D$2:$D$6,0))</f>
        <v/>
      </c>
      <c r="N271" s="32" t="str">
        <f t="shared" si="8"/>
        <v/>
      </c>
      <c r="O271" s="32" t="str">
        <f t="shared" si="9"/>
        <v/>
      </c>
      <c r="P271" s="18"/>
      <c r="Q271" s="18"/>
      <c r="R271" s="18"/>
      <c r="S271" s="18"/>
      <c r="T271" s="18"/>
      <c r="U271" s="18"/>
      <c r="V271" s="35"/>
      <c r="W271" s="19"/>
    </row>
    <row r="272" spans="1:23">
      <c r="A272" s="18"/>
      <c r="B272" s="19"/>
      <c r="C272" s="18"/>
      <c r="D272" s="19"/>
      <c r="E272" s="18"/>
      <c r="F272" s="19"/>
      <c r="G272" s="19"/>
      <c r="H272" s="19"/>
      <c r="I272" s="18"/>
      <c r="J272" s="18"/>
      <c r="K272" s="18"/>
      <c r="L272" s="18"/>
      <c r="M272" s="32" t="str">
        <f>IF(OR(K272="",L272=""),"",MATCH(K272,Lists!$C$2:$C$5,0)*MATCH(L272,Lists!$D$2:$D$6,0))</f>
        <v/>
      </c>
      <c r="N272" s="32" t="str">
        <f t="shared" si="8"/>
        <v/>
      </c>
      <c r="O272" s="32" t="str">
        <f t="shared" si="9"/>
        <v/>
      </c>
      <c r="P272" s="18"/>
      <c r="Q272" s="18"/>
      <c r="R272" s="18"/>
      <c r="S272" s="18"/>
      <c r="T272" s="18"/>
      <c r="U272" s="18"/>
      <c r="V272" s="35"/>
      <c r="W272" s="19"/>
    </row>
    <row r="273" spans="1:23">
      <c r="A273" s="18"/>
      <c r="B273" s="19"/>
      <c r="C273" s="18"/>
      <c r="D273" s="19"/>
      <c r="E273" s="18"/>
      <c r="F273" s="19"/>
      <c r="G273" s="19"/>
      <c r="H273" s="19"/>
      <c r="I273" s="18"/>
      <c r="J273" s="18"/>
      <c r="K273" s="18"/>
      <c r="L273" s="18"/>
      <c r="M273" s="32" t="str">
        <f>IF(OR(K273="",L273=""),"",MATCH(K273,Lists!$C$2:$C$5,0)*MATCH(L273,Lists!$D$2:$D$6,0))</f>
        <v/>
      </c>
      <c r="N273" s="32" t="str">
        <f t="shared" si="8"/>
        <v/>
      </c>
      <c r="O273" s="32" t="str">
        <f t="shared" si="9"/>
        <v/>
      </c>
      <c r="P273" s="18"/>
      <c r="Q273" s="18"/>
      <c r="R273" s="18"/>
      <c r="S273" s="18"/>
      <c r="T273" s="18"/>
      <c r="U273" s="18"/>
      <c r="V273" s="35"/>
      <c r="W273" s="19"/>
    </row>
    <row r="274" spans="1:23">
      <c r="A274" s="18"/>
      <c r="B274" s="19"/>
      <c r="C274" s="18"/>
      <c r="D274" s="19"/>
      <c r="E274" s="18"/>
      <c r="F274" s="19"/>
      <c r="G274" s="19"/>
      <c r="H274" s="19"/>
      <c r="I274" s="18"/>
      <c r="J274" s="18"/>
      <c r="K274" s="18"/>
      <c r="L274" s="18"/>
      <c r="M274" s="32" t="str">
        <f>IF(OR(K274="",L274=""),"",MATCH(K274,Lists!$C$2:$C$5,0)*MATCH(L274,Lists!$D$2:$D$6,0))</f>
        <v/>
      </c>
      <c r="N274" s="32" t="str">
        <f t="shared" si="8"/>
        <v/>
      </c>
      <c r="O274" s="32" t="str">
        <f t="shared" si="9"/>
        <v/>
      </c>
      <c r="P274" s="18"/>
      <c r="Q274" s="18"/>
      <c r="R274" s="18"/>
      <c r="S274" s="18"/>
      <c r="T274" s="18"/>
      <c r="U274" s="18"/>
      <c r="V274" s="35"/>
      <c r="W274" s="19"/>
    </row>
    <row r="275" spans="1:23">
      <c r="A275" s="18"/>
      <c r="B275" s="19"/>
      <c r="C275" s="18"/>
      <c r="D275" s="19"/>
      <c r="E275" s="18"/>
      <c r="F275" s="19"/>
      <c r="G275" s="19"/>
      <c r="H275" s="19"/>
      <c r="I275" s="18"/>
      <c r="J275" s="18"/>
      <c r="K275" s="18"/>
      <c r="L275" s="18"/>
      <c r="M275" s="32" t="str">
        <f>IF(OR(K275="",L275=""),"",MATCH(K275,Lists!$C$2:$C$5,0)*MATCH(L275,Lists!$D$2:$D$6,0))</f>
        <v/>
      </c>
      <c r="N275" s="32" t="str">
        <f t="shared" si="8"/>
        <v/>
      </c>
      <c r="O275" s="32" t="str">
        <f t="shared" si="9"/>
        <v/>
      </c>
      <c r="P275" s="18"/>
      <c r="Q275" s="18"/>
      <c r="R275" s="18"/>
      <c r="S275" s="18"/>
      <c r="T275" s="18"/>
      <c r="U275" s="18"/>
      <c r="V275" s="35"/>
      <c r="W275" s="19"/>
    </row>
    <row r="276" spans="1:23">
      <c r="A276" s="18"/>
      <c r="B276" s="19"/>
      <c r="C276" s="18"/>
      <c r="D276" s="19"/>
      <c r="E276" s="18"/>
      <c r="F276" s="19"/>
      <c r="G276" s="19"/>
      <c r="H276" s="19"/>
      <c r="I276" s="18"/>
      <c r="J276" s="18"/>
      <c r="K276" s="18"/>
      <c r="L276" s="18"/>
      <c r="M276" s="32" t="str">
        <f>IF(OR(K276="",L276=""),"",MATCH(K276,Lists!$C$2:$C$5,0)*MATCH(L276,Lists!$D$2:$D$6,0))</f>
        <v/>
      </c>
      <c r="N276" s="32" t="str">
        <f t="shared" si="8"/>
        <v/>
      </c>
      <c r="O276" s="32" t="str">
        <f t="shared" si="9"/>
        <v/>
      </c>
      <c r="P276" s="18"/>
      <c r="Q276" s="18"/>
      <c r="R276" s="18"/>
      <c r="S276" s="18"/>
      <c r="T276" s="18"/>
      <c r="U276" s="18"/>
      <c r="V276" s="35"/>
      <c r="W276" s="19"/>
    </row>
    <row r="277" spans="1:23">
      <c r="A277" s="18"/>
      <c r="B277" s="19"/>
      <c r="C277" s="18"/>
      <c r="D277" s="19"/>
      <c r="E277" s="18"/>
      <c r="F277" s="19"/>
      <c r="G277" s="19"/>
      <c r="H277" s="19"/>
      <c r="I277" s="18"/>
      <c r="J277" s="18"/>
      <c r="K277" s="18"/>
      <c r="L277" s="18"/>
      <c r="M277" s="32" t="str">
        <f>IF(OR(K277="",L277=""),"",MATCH(K277,Lists!$C$2:$C$5,0)*MATCH(L277,Lists!$D$2:$D$6,0))</f>
        <v/>
      </c>
      <c r="N277" s="32" t="str">
        <f t="shared" si="8"/>
        <v/>
      </c>
      <c r="O277" s="32" t="str">
        <f t="shared" si="9"/>
        <v/>
      </c>
      <c r="P277" s="18"/>
      <c r="Q277" s="18"/>
      <c r="R277" s="18"/>
      <c r="S277" s="18"/>
      <c r="T277" s="18"/>
      <c r="U277" s="18"/>
      <c r="V277" s="35"/>
      <c r="W277" s="19"/>
    </row>
    <row r="278" spans="1:23">
      <c r="A278" s="18"/>
      <c r="B278" s="19"/>
      <c r="C278" s="18"/>
      <c r="D278" s="19"/>
      <c r="E278" s="18"/>
      <c r="F278" s="19"/>
      <c r="G278" s="19"/>
      <c r="H278" s="19"/>
      <c r="I278" s="18"/>
      <c r="J278" s="18"/>
      <c r="K278" s="18"/>
      <c r="L278" s="18"/>
      <c r="M278" s="32" t="str">
        <f>IF(OR(K278="",L278=""),"",MATCH(K278,Lists!$C$2:$C$5,0)*MATCH(L278,Lists!$D$2:$D$6,0))</f>
        <v/>
      </c>
      <c r="N278" s="32" t="str">
        <f t="shared" si="8"/>
        <v/>
      </c>
      <c r="O278" s="32" t="str">
        <f t="shared" si="9"/>
        <v/>
      </c>
      <c r="P278" s="18"/>
      <c r="Q278" s="18"/>
      <c r="R278" s="18"/>
      <c r="S278" s="18"/>
      <c r="T278" s="18"/>
      <c r="U278" s="18"/>
      <c r="V278" s="35"/>
      <c r="W278" s="19"/>
    </row>
    <row r="279" spans="1:23">
      <c r="A279" s="18"/>
      <c r="B279" s="19"/>
      <c r="C279" s="18"/>
      <c r="D279" s="19"/>
      <c r="E279" s="18"/>
      <c r="F279" s="19"/>
      <c r="G279" s="19"/>
      <c r="H279" s="19"/>
      <c r="I279" s="18"/>
      <c r="J279" s="18"/>
      <c r="K279" s="18"/>
      <c r="L279" s="18"/>
      <c r="M279" s="32" t="str">
        <f>IF(OR(K279="",L279=""),"",MATCH(K279,Lists!$C$2:$C$5,0)*MATCH(L279,Lists!$D$2:$D$6,0))</f>
        <v/>
      </c>
      <c r="N279" s="32" t="str">
        <f t="shared" si="8"/>
        <v/>
      </c>
      <c r="O279" s="32" t="str">
        <f t="shared" si="9"/>
        <v/>
      </c>
      <c r="P279" s="18"/>
      <c r="Q279" s="18"/>
      <c r="R279" s="18"/>
      <c r="S279" s="18"/>
      <c r="T279" s="18"/>
      <c r="U279" s="18"/>
      <c r="V279" s="35"/>
      <c r="W279" s="19"/>
    </row>
    <row r="280" spans="1:23">
      <c r="A280" s="18"/>
      <c r="B280" s="19"/>
      <c r="C280" s="18"/>
      <c r="D280" s="19"/>
      <c r="E280" s="18"/>
      <c r="F280" s="19"/>
      <c r="G280" s="19"/>
      <c r="H280" s="19"/>
      <c r="I280" s="18"/>
      <c r="J280" s="18"/>
      <c r="K280" s="18"/>
      <c r="L280" s="18"/>
      <c r="M280" s="32" t="str">
        <f>IF(OR(K280="",L280=""),"",MATCH(K280,Lists!$C$2:$C$5,0)*MATCH(L280,Lists!$D$2:$D$6,0))</f>
        <v/>
      </c>
      <c r="N280" s="32" t="str">
        <f t="shared" si="8"/>
        <v/>
      </c>
      <c r="O280" s="32" t="str">
        <f t="shared" si="9"/>
        <v/>
      </c>
      <c r="P280" s="18"/>
      <c r="Q280" s="18"/>
      <c r="R280" s="18"/>
      <c r="S280" s="18"/>
      <c r="T280" s="18"/>
      <c r="U280" s="18"/>
      <c r="V280" s="35"/>
      <c r="W280" s="19"/>
    </row>
    <row r="281" spans="1:23">
      <c r="A281" s="18"/>
      <c r="B281" s="19"/>
      <c r="C281" s="18"/>
      <c r="D281" s="19"/>
      <c r="E281" s="18"/>
      <c r="F281" s="19"/>
      <c r="G281" s="19"/>
      <c r="H281" s="19"/>
      <c r="I281" s="18"/>
      <c r="J281" s="18"/>
      <c r="K281" s="18"/>
      <c r="L281" s="18"/>
      <c r="M281" s="32" t="str">
        <f>IF(OR(K281="",L281=""),"",MATCH(K281,Lists!$C$2:$C$5,0)*MATCH(L281,Lists!$D$2:$D$6,0))</f>
        <v/>
      </c>
      <c r="N281" s="32" t="str">
        <f t="shared" si="8"/>
        <v/>
      </c>
      <c r="O281" s="32" t="str">
        <f t="shared" si="9"/>
        <v/>
      </c>
      <c r="P281" s="18"/>
      <c r="Q281" s="18"/>
      <c r="R281" s="18"/>
      <c r="S281" s="18"/>
      <c r="T281" s="18"/>
      <c r="U281" s="18"/>
      <c r="V281" s="35"/>
      <c r="W281" s="19"/>
    </row>
    <row r="282" spans="1:23">
      <c r="A282" s="18"/>
      <c r="B282" s="19"/>
      <c r="C282" s="18"/>
      <c r="D282" s="19"/>
      <c r="E282" s="18"/>
      <c r="F282" s="19"/>
      <c r="G282" s="19"/>
      <c r="H282" s="19"/>
      <c r="I282" s="18"/>
      <c r="J282" s="18"/>
      <c r="K282" s="18"/>
      <c r="L282" s="18"/>
      <c r="M282" s="32" t="str">
        <f>IF(OR(K282="",L282=""),"",MATCH(K282,Lists!$C$2:$C$5,0)*MATCH(L282,Lists!$D$2:$D$6,0))</f>
        <v/>
      </c>
      <c r="N282" s="32" t="str">
        <f t="shared" si="8"/>
        <v/>
      </c>
      <c r="O282" s="32" t="str">
        <f t="shared" si="9"/>
        <v/>
      </c>
      <c r="P282" s="18"/>
      <c r="Q282" s="18"/>
      <c r="R282" s="18"/>
      <c r="S282" s="18"/>
      <c r="T282" s="18"/>
      <c r="U282" s="18"/>
      <c r="V282" s="35"/>
      <c r="W282" s="19"/>
    </row>
    <row r="283" spans="1:23">
      <c r="A283" s="18"/>
      <c r="B283" s="19"/>
      <c r="C283" s="18"/>
      <c r="D283" s="19"/>
      <c r="E283" s="18"/>
      <c r="F283" s="19"/>
      <c r="G283" s="19"/>
      <c r="H283" s="19"/>
      <c r="I283" s="18"/>
      <c r="J283" s="18"/>
      <c r="K283" s="18"/>
      <c r="L283" s="18"/>
      <c r="M283" s="32" t="str">
        <f>IF(OR(K283="",L283=""),"",MATCH(K283,Lists!$C$2:$C$5,0)*MATCH(L283,Lists!$D$2:$D$6,0))</f>
        <v/>
      </c>
      <c r="N283" s="32" t="str">
        <f t="shared" si="8"/>
        <v/>
      </c>
      <c r="O283" s="32" t="str">
        <f t="shared" si="9"/>
        <v/>
      </c>
      <c r="P283" s="18"/>
      <c r="Q283" s="18"/>
      <c r="R283" s="18"/>
      <c r="S283" s="18"/>
      <c r="T283" s="18"/>
      <c r="U283" s="18"/>
      <c r="V283" s="35"/>
      <c r="W283" s="19"/>
    </row>
    <row r="284" spans="1:23">
      <c r="A284" s="18"/>
      <c r="B284" s="19"/>
      <c r="C284" s="18"/>
      <c r="D284" s="19"/>
      <c r="E284" s="18"/>
      <c r="F284" s="19"/>
      <c r="G284" s="19"/>
      <c r="H284" s="19"/>
      <c r="I284" s="18"/>
      <c r="J284" s="18"/>
      <c r="K284" s="18"/>
      <c r="L284" s="18"/>
      <c r="M284" s="32" t="str">
        <f>IF(OR(K284="",L284=""),"",MATCH(K284,Lists!$C$2:$C$5,0)*MATCH(L284,Lists!$D$2:$D$6,0))</f>
        <v/>
      </c>
      <c r="N284" s="32" t="str">
        <f t="shared" si="8"/>
        <v/>
      </c>
      <c r="O284" s="32" t="str">
        <f t="shared" si="9"/>
        <v/>
      </c>
      <c r="P284" s="18"/>
      <c r="Q284" s="18"/>
      <c r="R284" s="18"/>
      <c r="S284" s="18"/>
      <c r="T284" s="18"/>
      <c r="U284" s="18"/>
      <c r="V284" s="35"/>
      <c r="W284" s="19"/>
    </row>
    <row r="285" spans="1:23">
      <c r="A285" s="18"/>
      <c r="B285" s="19"/>
      <c r="C285" s="18"/>
      <c r="D285" s="19"/>
      <c r="E285" s="18"/>
      <c r="F285" s="19"/>
      <c r="G285" s="19"/>
      <c r="H285" s="19"/>
      <c r="I285" s="18"/>
      <c r="J285" s="18"/>
      <c r="K285" s="18"/>
      <c r="L285" s="18"/>
      <c r="M285" s="32" t="str">
        <f>IF(OR(K285="",L285=""),"",MATCH(K285,Lists!$C$2:$C$5,0)*MATCH(L285,Lists!$D$2:$D$6,0))</f>
        <v/>
      </c>
      <c r="N285" s="32" t="str">
        <f t="shared" si="8"/>
        <v/>
      </c>
      <c r="O285" s="32" t="str">
        <f t="shared" si="9"/>
        <v/>
      </c>
      <c r="P285" s="18"/>
      <c r="Q285" s="18"/>
      <c r="R285" s="18"/>
      <c r="S285" s="18"/>
      <c r="T285" s="18"/>
      <c r="U285" s="18"/>
      <c r="V285" s="35"/>
      <c r="W285" s="19"/>
    </row>
    <row r="286" spans="1:23">
      <c r="A286" s="18"/>
      <c r="B286" s="19"/>
      <c r="C286" s="18"/>
      <c r="D286" s="19"/>
      <c r="E286" s="18"/>
      <c r="F286" s="19"/>
      <c r="G286" s="19"/>
      <c r="H286" s="19"/>
      <c r="I286" s="18"/>
      <c r="J286" s="18"/>
      <c r="K286" s="18"/>
      <c r="L286" s="18"/>
      <c r="M286" s="32" t="str">
        <f>IF(OR(K286="",L286=""),"",MATCH(K286,Lists!$C$2:$C$5,0)*MATCH(L286,Lists!$D$2:$D$6,0))</f>
        <v/>
      </c>
      <c r="N286" s="32" t="str">
        <f t="shared" si="8"/>
        <v/>
      </c>
      <c r="O286" s="32" t="str">
        <f t="shared" si="9"/>
        <v/>
      </c>
      <c r="P286" s="18"/>
      <c r="Q286" s="18"/>
      <c r="R286" s="18"/>
      <c r="S286" s="18"/>
      <c r="T286" s="18"/>
      <c r="U286" s="18"/>
      <c r="V286" s="35"/>
      <c r="W286" s="19"/>
    </row>
    <row r="287" spans="1:23">
      <c r="A287" s="18"/>
      <c r="B287" s="19"/>
      <c r="C287" s="18"/>
      <c r="D287" s="19"/>
      <c r="E287" s="18"/>
      <c r="F287" s="19"/>
      <c r="G287" s="19"/>
      <c r="H287" s="19"/>
      <c r="I287" s="18"/>
      <c r="J287" s="18"/>
      <c r="K287" s="18"/>
      <c r="L287" s="18"/>
      <c r="M287" s="32" t="str">
        <f>IF(OR(K287="",L287=""),"",MATCH(K287,Lists!$C$2:$C$5,0)*MATCH(L287,Lists!$D$2:$D$6,0))</f>
        <v/>
      </c>
      <c r="N287" s="32" t="str">
        <f t="shared" si="8"/>
        <v/>
      </c>
      <c r="O287" s="32" t="str">
        <f t="shared" si="9"/>
        <v/>
      </c>
      <c r="P287" s="18"/>
      <c r="Q287" s="18"/>
      <c r="R287" s="18"/>
      <c r="S287" s="18"/>
      <c r="T287" s="18"/>
      <c r="U287" s="18"/>
      <c r="V287" s="35"/>
      <c r="W287" s="19"/>
    </row>
    <row r="288" spans="1:23">
      <c r="A288" s="18"/>
      <c r="B288" s="19"/>
      <c r="C288" s="18"/>
      <c r="D288" s="19"/>
      <c r="E288" s="18"/>
      <c r="F288" s="19"/>
      <c r="G288" s="19"/>
      <c r="H288" s="19"/>
      <c r="I288" s="18"/>
      <c r="J288" s="18"/>
      <c r="K288" s="18"/>
      <c r="L288" s="18"/>
      <c r="M288" s="32" t="str">
        <f>IF(OR(K288="",L288=""),"",MATCH(K288,Lists!$C$2:$C$5,0)*MATCH(L288,Lists!$D$2:$D$6,0))</f>
        <v/>
      </c>
      <c r="N288" s="32" t="str">
        <f t="shared" si="8"/>
        <v/>
      </c>
      <c r="O288" s="32" t="str">
        <f t="shared" si="9"/>
        <v/>
      </c>
      <c r="P288" s="18"/>
      <c r="Q288" s="18"/>
      <c r="R288" s="18"/>
      <c r="S288" s="18"/>
      <c r="T288" s="18"/>
      <c r="U288" s="18"/>
      <c r="V288" s="35"/>
      <c r="W288" s="19"/>
    </row>
    <row r="289" spans="1:23">
      <c r="A289" s="18"/>
      <c r="B289" s="19"/>
      <c r="C289" s="18"/>
      <c r="D289" s="19"/>
      <c r="E289" s="18"/>
      <c r="F289" s="19"/>
      <c r="G289" s="19"/>
      <c r="H289" s="19"/>
      <c r="I289" s="18"/>
      <c r="J289" s="18"/>
      <c r="K289" s="18"/>
      <c r="L289" s="18"/>
      <c r="M289" s="32" t="str">
        <f>IF(OR(K289="",L289=""),"",MATCH(K289,Lists!$C$2:$C$5,0)*MATCH(L289,Lists!$D$2:$D$6,0))</f>
        <v/>
      </c>
      <c r="N289" s="32" t="str">
        <f t="shared" si="8"/>
        <v/>
      </c>
      <c r="O289" s="32" t="str">
        <f t="shared" si="9"/>
        <v/>
      </c>
      <c r="P289" s="18"/>
      <c r="Q289" s="18"/>
      <c r="R289" s="18"/>
      <c r="S289" s="18"/>
      <c r="T289" s="18"/>
      <c r="U289" s="18"/>
      <c r="V289" s="35"/>
      <c r="W289" s="19"/>
    </row>
    <row r="290" spans="1:23">
      <c r="A290" s="18"/>
      <c r="B290" s="19"/>
      <c r="C290" s="18"/>
      <c r="D290" s="19"/>
      <c r="E290" s="18"/>
      <c r="F290" s="19"/>
      <c r="G290" s="19"/>
      <c r="H290" s="19"/>
      <c r="I290" s="18"/>
      <c r="J290" s="18"/>
      <c r="K290" s="18"/>
      <c r="L290" s="18"/>
      <c r="M290" s="32" t="str">
        <f>IF(OR(K290="",L290=""),"",MATCH(K290,Lists!$C$2:$C$5,0)*MATCH(L290,Lists!$D$2:$D$6,0))</f>
        <v/>
      </c>
      <c r="N290" s="32" t="str">
        <f t="shared" si="8"/>
        <v/>
      </c>
      <c r="O290" s="32" t="str">
        <f t="shared" si="9"/>
        <v/>
      </c>
      <c r="P290" s="18"/>
      <c r="Q290" s="18"/>
      <c r="R290" s="18"/>
      <c r="S290" s="18"/>
      <c r="T290" s="18"/>
      <c r="U290" s="18"/>
      <c r="V290" s="35"/>
      <c r="W290" s="19"/>
    </row>
    <row r="291" spans="1:23">
      <c r="A291" s="18"/>
      <c r="B291" s="19"/>
      <c r="C291" s="18"/>
      <c r="D291" s="19"/>
      <c r="E291" s="18"/>
      <c r="F291" s="19"/>
      <c r="G291" s="19"/>
      <c r="H291" s="19"/>
      <c r="I291" s="18"/>
      <c r="J291" s="18"/>
      <c r="K291" s="18"/>
      <c r="L291" s="18"/>
      <c r="M291" s="32" t="str">
        <f>IF(OR(K291="",L291=""),"",MATCH(K291,Lists!$C$2:$C$5,0)*MATCH(L291,Lists!$D$2:$D$6,0))</f>
        <v/>
      </c>
      <c r="N291" s="32" t="str">
        <f t="shared" si="8"/>
        <v/>
      </c>
      <c r="O291" s="32" t="str">
        <f t="shared" si="9"/>
        <v/>
      </c>
      <c r="P291" s="18"/>
      <c r="Q291" s="18"/>
      <c r="R291" s="18"/>
      <c r="S291" s="18"/>
      <c r="T291" s="18"/>
      <c r="U291" s="18"/>
      <c r="V291" s="35"/>
      <c r="W291" s="19"/>
    </row>
    <row r="292" spans="1:23">
      <c r="A292" s="18"/>
      <c r="B292" s="19"/>
      <c r="C292" s="18"/>
      <c r="D292" s="19"/>
      <c r="E292" s="18"/>
      <c r="F292" s="19"/>
      <c r="G292" s="19"/>
      <c r="H292" s="19"/>
      <c r="I292" s="18"/>
      <c r="J292" s="18"/>
      <c r="K292" s="18"/>
      <c r="L292" s="18"/>
      <c r="M292" s="32" t="str">
        <f>IF(OR(K292="",L292=""),"",MATCH(K292,Lists!$C$2:$C$5,0)*MATCH(L292,Lists!$D$2:$D$6,0))</f>
        <v/>
      </c>
      <c r="N292" s="32" t="str">
        <f t="shared" si="8"/>
        <v/>
      </c>
      <c r="O292" s="32" t="str">
        <f t="shared" si="9"/>
        <v/>
      </c>
      <c r="P292" s="18"/>
      <c r="Q292" s="18"/>
      <c r="R292" s="18"/>
      <c r="S292" s="18"/>
      <c r="T292" s="18"/>
      <c r="U292" s="18"/>
      <c r="V292" s="35"/>
      <c r="W292" s="19"/>
    </row>
    <row r="293" spans="1:23">
      <c r="A293" s="18"/>
      <c r="B293" s="19"/>
      <c r="C293" s="18"/>
      <c r="D293" s="19"/>
      <c r="E293" s="18"/>
      <c r="F293" s="19"/>
      <c r="G293" s="19"/>
      <c r="H293" s="19"/>
      <c r="I293" s="18"/>
      <c r="J293" s="18"/>
      <c r="K293" s="18"/>
      <c r="L293" s="18"/>
      <c r="M293" s="32" t="str">
        <f>IF(OR(K293="",L293=""),"",MATCH(K293,Lists!$C$2:$C$5,0)*MATCH(L293,Lists!$D$2:$D$6,0))</f>
        <v/>
      </c>
      <c r="N293" s="32" t="str">
        <f t="shared" si="8"/>
        <v/>
      </c>
      <c r="O293" s="32" t="str">
        <f t="shared" si="9"/>
        <v/>
      </c>
      <c r="P293" s="18"/>
      <c r="Q293" s="18"/>
      <c r="R293" s="18"/>
      <c r="S293" s="18"/>
      <c r="T293" s="18"/>
      <c r="U293" s="18"/>
      <c r="V293" s="35"/>
      <c r="W293" s="19"/>
    </row>
    <row r="294" spans="1:23">
      <c r="A294" s="18"/>
      <c r="B294" s="19"/>
      <c r="C294" s="18"/>
      <c r="D294" s="19"/>
      <c r="E294" s="18"/>
      <c r="F294" s="19"/>
      <c r="G294" s="19"/>
      <c r="H294" s="19"/>
      <c r="I294" s="18"/>
      <c r="J294" s="18"/>
      <c r="K294" s="18"/>
      <c r="L294" s="18"/>
      <c r="M294" s="32" t="str">
        <f>IF(OR(K294="",L294=""),"",MATCH(K294,Lists!$C$2:$C$5,0)*MATCH(L294,Lists!$D$2:$D$6,0))</f>
        <v/>
      </c>
      <c r="N294" s="32" t="str">
        <f t="shared" si="8"/>
        <v/>
      </c>
      <c r="O294" s="32" t="str">
        <f t="shared" si="9"/>
        <v/>
      </c>
      <c r="P294" s="18"/>
      <c r="Q294" s="18"/>
      <c r="R294" s="18"/>
      <c r="S294" s="18"/>
      <c r="T294" s="18"/>
      <c r="U294" s="18"/>
      <c r="V294" s="35"/>
      <c r="W294" s="19"/>
    </row>
    <row r="295" spans="1:23">
      <c r="A295" s="18"/>
      <c r="B295" s="19"/>
      <c r="C295" s="18"/>
      <c r="D295" s="19"/>
      <c r="E295" s="18"/>
      <c r="F295" s="19"/>
      <c r="G295" s="19"/>
      <c r="H295" s="19"/>
      <c r="I295" s="18"/>
      <c r="J295" s="18"/>
      <c r="K295" s="18"/>
      <c r="L295" s="18"/>
      <c r="M295" s="32" t="str">
        <f>IF(OR(K295="",L295=""),"",MATCH(K295,Lists!$C$2:$C$5,0)*MATCH(L295,Lists!$D$2:$D$6,0))</f>
        <v/>
      </c>
      <c r="N295" s="32" t="str">
        <f t="shared" si="8"/>
        <v/>
      </c>
      <c r="O295" s="32" t="str">
        <f t="shared" si="9"/>
        <v/>
      </c>
      <c r="P295" s="18"/>
      <c r="Q295" s="18"/>
      <c r="R295" s="18"/>
      <c r="S295" s="18"/>
      <c r="T295" s="18"/>
      <c r="U295" s="18"/>
      <c r="V295" s="35"/>
      <c r="W295" s="19"/>
    </row>
    <row r="296" spans="1:23">
      <c r="A296" s="18"/>
      <c r="B296" s="19"/>
      <c r="C296" s="18"/>
      <c r="D296" s="19"/>
      <c r="E296" s="18"/>
      <c r="F296" s="19"/>
      <c r="G296" s="19"/>
      <c r="H296" s="19"/>
      <c r="I296" s="18"/>
      <c r="J296" s="18"/>
      <c r="K296" s="18"/>
      <c r="L296" s="18"/>
      <c r="M296" s="32" t="str">
        <f>IF(OR(K296="",L296=""),"",MATCH(K296,Lists!$C$2:$C$5,0)*MATCH(L296,Lists!$D$2:$D$6,0))</f>
        <v/>
      </c>
      <c r="N296" s="32" t="str">
        <f t="shared" si="8"/>
        <v/>
      </c>
      <c r="O296" s="32" t="str">
        <f t="shared" si="9"/>
        <v/>
      </c>
      <c r="P296" s="18"/>
      <c r="Q296" s="18"/>
      <c r="R296" s="18"/>
      <c r="S296" s="18"/>
      <c r="T296" s="18"/>
      <c r="U296" s="18"/>
      <c r="V296" s="35"/>
      <c r="W296" s="19"/>
    </row>
    <row r="297" spans="1:23">
      <c r="A297" s="18"/>
      <c r="B297" s="19"/>
      <c r="C297" s="18"/>
      <c r="D297" s="19"/>
      <c r="E297" s="18"/>
      <c r="F297" s="19"/>
      <c r="G297" s="19"/>
      <c r="H297" s="19"/>
      <c r="I297" s="18"/>
      <c r="J297" s="18"/>
      <c r="K297" s="18"/>
      <c r="L297" s="18"/>
      <c r="M297" s="32" t="str">
        <f>IF(OR(K297="",L297=""),"",MATCH(K297,Lists!$C$2:$C$5,0)*MATCH(L297,Lists!$D$2:$D$6,0))</f>
        <v/>
      </c>
      <c r="N297" s="32" t="str">
        <f t="shared" si="8"/>
        <v/>
      </c>
      <c r="O297" s="32" t="str">
        <f t="shared" si="9"/>
        <v/>
      </c>
      <c r="P297" s="18"/>
      <c r="Q297" s="18"/>
      <c r="R297" s="18"/>
      <c r="S297" s="18"/>
      <c r="T297" s="18"/>
      <c r="U297" s="18"/>
      <c r="V297" s="35"/>
      <c r="W297" s="19"/>
    </row>
    <row r="298" spans="1:23">
      <c r="A298" s="18"/>
      <c r="B298" s="19"/>
      <c r="C298" s="18"/>
      <c r="D298" s="19"/>
      <c r="E298" s="18"/>
      <c r="F298" s="19"/>
      <c r="G298" s="19"/>
      <c r="H298" s="19"/>
      <c r="I298" s="18"/>
      <c r="J298" s="18"/>
      <c r="K298" s="18"/>
      <c r="L298" s="18"/>
      <c r="M298" s="32" t="str">
        <f>IF(OR(K298="",L298=""),"",MATCH(K298,Lists!$C$2:$C$5,0)*MATCH(L298,Lists!$D$2:$D$6,0))</f>
        <v/>
      </c>
      <c r="N298" s="32" t="str">
        <f t="shared" si="8"/>
        <v/>
      </c>
      <c r="O298" s="32" t="str">
        <f t="shared" si="9"/>
        <v/>
      </c>
      <c r="P298" s="18"/>
      <c r="Q298" s="18"/>
      <c r="R298" s="18"/>
      <c r="S298" s="18"/>
      <c r="T298" s="18"/>
      <c r="U298" s="18"/>
      <c r="V298" s="35"/>
      <c r="W298" s="19"/>
    </row>
    <row r="299" spans="1:23">
      <c r="A299" s="18"/>
      <c r="B299" s="19"/>
      <c r="C299" s="18"/>
      <c r="D299" s="19"/>
      <c r="E299" s="18"/>
      <c r="F299" s="19"/>
      <c r="G299" s="19"/>
      <c r="H299" s="19"/>
      <c r="I299" s="18"/>
      <c r="J299" s="18"/>
      <c r="K299" s="18"/>
      <c r="L299" s="18"/>
      <c r="M299" s="32" t="str">
        <f>IF(OR(K299="",L299=""),"",MATCH(K299,Lists!$C$2:$C$5,0)*MATCH(L299,Lists!$D$2:$D$6,0))</f>
        <v/>
      </c>
      <c r="N299" s="32" t="str">
        <f t="shared" si="8"/>
        <v/>
      </c>
      <c r="O299" s="32" t="str">
        <f t="shared" si="9"/>
        <v/>
      </c>
      <c r="P299" s="18"/>
      <c r="Q299" s="18"/>
      <c r="R299" s="18"/>
      <c r="S299" s="18"/>
      <c r="T299" s="18"/>
      <c r="U299" s="18"/>
      <c r="V299" s="35"/>
      <c r="W299" s="19"/>
    </row>
    <row r="300" spans="1:23">
      <c r="A300" s="18"/>
      <c r="B300" s="19"/>
      <c r="C300" s="18"/>
      <c r="D300" s="19"/>
      <c r="E300" s="18"/>
      <c r="F300" s="19"/>
      <c r="G300" s="19"/>
      <c r="H300" s="19"/>
      <c r="I300" s="18"/>
      <c r="J300" s="18"/>
      <c r="K300" s="18"/>
      <c r="L300" s="18"/>
      <c r="M300" s="32" t="str">
        <f>IF(OR(K300="",L300=""),"",MATCH(K300,Lists!$C$2:$C$5,0)*MATCH(L300,Lists!$D$2:$D$6,0))</f>
        <v/>
      </c>
      <c r="N300" s="32" t="str">
        <f t="shared" si="8"/>
        <v/>
      </c>
      <c r="O300" s="32" t="str">
        <f t="shared" si="9"/>
        <v/>
      </c>
      <c r="P300" s="18"/>
      <c r="Q300" s="18"/>
      <c r="R300" s="18"/>
      <c r="S300" s="18"/>
      <c r="T300" s="18"/>
      <c r="U300" s="18"/>
      <c r="V300" s="35"/>
      <c r="W300" s="19"/>
    </row>
    <row r="301" spans="1:23">
      <c r="A301" s="18"/>
      <c r="B301" s="19"/>
      <c r="C301" s="18"/>
      <c r="D301" s="19"/>
      <c r="E301" s="18"/>
      <c r="F301" s="19"/>
      <c r="G301" s="19"/>
      <c r="H301" s="19"/>
      <c r="I301" s="18"/>
      <c r="J301" s="18"/>
      <c r="K301" s="18"/>
      <c r="L301" s="18"/>
      <c r="M301" s="32" t="str">
        <f>IF(OR(K301="",L301=""),"",MATCH(K301,Lists!$C$2:$C$5,0)*MATCH(L301,Lists!$D$2:$D$6,0))</f>
        <v/>
      </c>
      <c r="N301" s="32" t="str">
        <f t="shared" si="8"/>
        <v/>
      </c>
      <c r="O301" s="32" t="str">
        <f t="shared" si="9"/>
        <v/>
      </c>
      <c r="P301" s="18"/>
      <c r="Q301" s="18"/>
      <c r="R301" s="18"/>
      <c r="S301" s="18"/>
      <c r="T301" s="18"/>
      <c r="U301" s="18"/>
      <c r="V301" s="35"/>
      <c r="W301" s="19"/>
    </row>
    <row r="302" spans="1:23">
      <c r="A302" s="18"/>
      <c r="B302" s="19"/>
      <c r="C302" s="18"/>
      <c r="D302" s="19"/>
      <c r="E302" s="18"/>
      <c r="F302" s="19"/>
      <c r="G302" s="19"/>
      <c r="H302" s="19"/>
      <c r="I302" s="18"/>
      <c r="J302" s="18"/>
      <c r="K302" s="18"/>
      <c r="L302" s="18"/>
      <c r="M302" s="32" t="str">
        <f>IF(OR(K302="",L302=""),"",MATCH(K302,Lists!$C$2:$C$5,0)*MATCH(L302,Lists!$D$2:$D$6,0))</f>
        <v/>
      </c>
      <c r="N302" s="32" t="str">
        <f t="shared" si="8"/>
        <v/>
      </c>
      <c r="O302" s="32" t="str">
        <f t="shared" si="9"/>
        <v/>
      </c>
      <c r="P302" s="18"/>
      <c r="Q302" s="18"/>
      <c r="R302" s="18"/>
      <c r="S302" s="18"/>
      <c r="T302" s="18"/>
      <c r="U302" s="18"/>
      <c r="V302" s="35"/>
      <c r="W302" s="19"/>
    </row>
    <row r="303" spans="1:23">
      <c r="A303" s="18"/>
      <c r="B303" s="19"/>
      <c r="C303" s="18"/>
      <c r="D303" s="19"/>
      <c r="E303" s="18"/>
      <c r="F303" s="19"/>
      <c r="G303" s="19"/>
      <c r="H303" s="19"/>
      <c r="I303" s="18"/>
      <c r="J303" s="18"/>
      <c r="K303" s="18"/>
      <c r="L303" s="18"/>
      <c r="M303" s="32" t="str">
        <f>IF(OR(K303="",L303=""),"",MATCH(K303,Lists!$C$2:$C$5,0)*MATCH(L303,Lists!$D$2:$D$6,0))</f>
        <v/>
      </c>
      <c r="N303" s="32" t="str">
        <f t="shared" si="8"/>
        <v/>
      </c>
      <c r="O303" s="32" t="str">
        <f t="shared" si="9"/>
        <v/>
      </c>
      <c r="P303" s="18"/>
      <c r="Q303" s="18"/>
      <c r="R303" s="18"/>
      <c r="S303" s="18"/>
      <c r="T303" s="18"/>
      <c r="U303" s="18"/>
      <c r="V303" s="35"/>
      <c r="W303" s="19"/>
    </row>
    <row r="304" spans="1:23">
      <c r="A304" s="18"/>
      <c r="B304" s="19"/>
      <c r="C304" s="18"/>
      <c r="D304" s="19"/>
      <c r="E304" s="18"/>
      <c r="F304" s="19"/>
      <c r="G304" s="19"/>
      <c r="H304" s="19"/>
      <c r="I304" s="18"/>
      <c r="J304" s="18"/>
      <c r="K304" s="18"/>
      <c r="L304" s="18"/>
      <c r="M304" s="32" t="str">
        <f>IF(OR(K304="",L304=""),"",MATCH(K304,Lists!$C$2:$C$5,0)*MATCH(L304,Lists!$D$2:$D$6,0))</f>
        <v/>
      </c>
      <c r="N304" s="32" t="str">
        <f t="shared" si="8"/>
        <v/>
      </c>
      <c r="O304" s="32" t="str">
        <f t="shared" si="9"/>
        <v/>
      </c>
      <c r="P304" s="18"/>
      <c r="Q304" s="18"/>
      <c r="R304" s="18"/>
      <c r="S304" s="18"/>
      <c r="T304" s="18"/>
      <c r="U304" s="18"/>
      <c r="V304" s="35"/>
      <c r="W304" s="19"/>
    </row>
    <row r="305" spans="1:23">
      <c r="A305" s="18"/>
      <c r="B305" s="19"/>
      <c r="C305" s="18"/>
      <c r="D305" s="19"/>
      <c r="E305" s="18"/>
      <c r="F305" s="19"/>
      <c r="G305" s="19"/>
      <c r="H305" s="19"/>
      <c r="I305" s="18"/>
      <c r="J305" s="18"/>
      <c r="K305" s="18"/>
      <c r="L305" s="18"/>
      <c r="M305" s="32" t="str">
        <f>IF(OR(K305="",L305=""),"",MATCH(K305,Lists!$C$2:$C$5,0)*MATCH(L305,Lists!$D$2:$D$6,0))</f>
        <v/>
      </c>
      <c r="N305" s="32" t="str">
        <f t="shared" si="8"/>
        <v/>
      </c>
      <c r="O305" s="32" t="str">
        <f t="shared" si="9"/>
        <v/>
      </c>
      <c r="P305" s="18"/>
      <c r="Q305" s="18"/>
      <c r="R305" s="18"/>
      <c r="S305" s="18"/>
      <c r="T305" s="18"/>
      <c r="U305" s="18"/>
      <c r="V305" s="35"/>
      <c r="W305" s="19"/>
    </row>
    <row r="306" spans="1:23">
      <c r="A306" s="18"/>
      <c r="B306" s="19"/>
      <c r="C306" s="18"/>
      <c r="D306" s="19"/>
      <c r="E306" s="18"/>
      <c r="F306" s="19"/>
      <c r="G306" s="19"/>
      <c r="H306" s="19"/>
      <c r="I306" s="18"/>
      <c r="J306" s="18"/>
      <c r="K306" s="18"/>
      <c r="L306" s="18"/>
      <c r="M306" s="32" t="str">
        <f>IF(OR(K306="",L306=""),"",MATCH(K306,Lists!$C$2:$C$5,0)*MATCH(L306,Lists!$D$2:$D$6,0))</f>
        <v/>
      </c>
      <c r="N306" s="32" t="str">
        <f t="shared" si="8"/>
        <v/>
      </c>
      <c r="O306" s="32" t="str">
        <f t="shared" si="9"/>
        <v/>
      </c>
      <c r="P306" s="18"/>
      <c r="Q306" s="18"/>
      <c r="R306" s="18"/>
      <c r="S306" s="18"/>
      <c r="T306" s="18"/>
      <c r="U306" s="18"/>
      <c r="V306" s="35"/>
      <c r="W306" s="19"/>
    </row>
    <row r="307" spans="1:23">
      <c r="A307" s="18"/>
      <c r="B307" s="19"/>
      <c r="C307" s="18"/>
      <c r="D307" s="19"/>
      <c r="E307" s="18"/>
      <c r="F307" s="19"/>
      <c r="G307" s="19"/>
      <c r="H307" s="19"/>
      <c r="I307" s="18"/>
      <c r="J307" s="18"/>
      <c r="K307" s="18"/>
      <c r="L307" s="18"/>
      <c r="M307" s="32" t="str">
        <f>IF(OR(K307="",L307=""),"",MATCH(K307,Lists!$C$2:$C$5,0)*MATCH(L307,Lists!$D$2:$D$6,0))</f>
        <v/>
      </c>
      <c r="N307" s="32" t="str">
        <f t="shared" si="8"/>
        <v/>
      </c>
      <c r="O307" s="32" t="str">
        <f t="shared" si="9"/>
        <v/>
      </c>
      <c r="P307" s="18"/>
      <c r="Q307" s="18"/>
      <c r="R307" s="18"/>
      <c r="S307" s="18"/>
      <c r="T307" s="18"/>
      <c r="U307" s="18"/>
      <c r="V307" s="35"/>
      <c r="W307" s="19"/>
    </row>
    <row r="308" spans="1:23">
      <c r="A308" s="18"/>
      <c r="B308" s="19"/>
      <c r="C308" s="18"/>
      <c r="D308" s="19"/>
      <c r="E308" s="18"/>
      <c r="F308" s="19"/>
      <c r="G308" s="19"/>
      <c r="H308" s="19"/>
      <c r="I308" s="18"/>
      <c r="J308" s="18"/>
      <c r="K308" s="18"/>
      <c r="L308" s="18"/>
      <c r="M308" s="32" t="str">
        <f>IF(OR(K308="",L308=""),"",MATCH(K308,Lists!$C$2:$C$5,0)*MATCH(L308,Lists!$D$2:$D$6,0))</f>
        <v/>
      </c>
      <c r="N308" s="32" t="str">
        <f t="shared" si="8"/>
        <v/>
      </c>
      <c r="O308" s="32" t="str">
        <f t="shared" si="9"/>
        <v/>
      </c>
      <c r="P308" s="18"/>
      <c r="Q308" s="18"/>
      <c r="R308" s="18"/>
      <c r="S308" s="18"/>
      <c r="T308" s="18"/>
      <c r="U308" s="18"/>
      <c r="V308" s="35"/>
      <c r="W308" s="19"/>
    </row>
    <row r="309" spans="1:23">
      <c r="A309" s="18"/>
      <c r="B309" s="19"/>
      <c r="C309" s="18"/>
      <c r="D309" s="19"/>
      <c r="E309" s="18"/>
      <c r="F309" s="19"/>
      <c r="G309" s="19"/>
      <c r="H309" s="19"/>
      <c r="I309" s="18"/>
      <c r="J309" s="18"/>
      <c r="K309" s="18"/>
      <c r="L309" s="18"/>
      <c r="M309" s="32" t="str">
        <f>IF(OR(K309="",L309=""),"",MATCH(K309,Lists!$C$2:$C$5,0)*MATCH(L309,Lists!$D$2:$D$6,0))</f>
        <v/>
      </c>
      <c r="N309" s="32" t="str">
        <f t="shared" si="8"/>
        <v/>
      </c>
      <c r="O309" s="32" t="str">
        <f t="shared" si="9"/>
        <v/>
      </c>
      <c r="P309" s="18"/>
      <c r="Q309" s="18"/>
      <c r="R309" s="18"/>
      <c r="S309" s="18"/>
      <c r="T309" s="18"/>
      <c r="U309" s="18"/>
      <c r="V309" s="35"/>
      <c r="W309" s="19"/>
    </row>
    <row r="310" spans="1:23">
      <c r="A310" s="18"/>
      <c r="B310" s="19"/>
      <c r="C310" s="18"/>
      <c r="D310" s="19"/>
      <c r="E310" s="18"/>
      <c r="F310" s="19"/>
      <c r="G310" s="19"/>
      <c r="H310" s="19"/>
      <c r="I310" s="18"/>
      <c r="J310" s="18"/>
      <c r="K310" s="18"/>
      <c r="L310" s="18"/>
      <c r="M310" s="32" t="str">
        <f>IF(OR(K310="",L310=""),"",MATCH(K310,Lists!$C$2:$C$5,0)*MATCH(L310,Lists!$D$2:$D$6,0))</f>
        <v/>
      </c>
      <c r="N310" s="32" t="str">
        <f t="shared" si="8"/>
        <v/>
      </c>
      <c r="O310" s="32" t="str">
        <f t="shared" si="9"/>
        <v/>
      </c>
      <c r="P310" s="18"/>
      <c r="Q310" s="18"/>
      <c r="R310" s="18"/>
      <c r="S310" s="18"/>
      <c r="T310" s="18"/>
      <c r="U310" s="18"/>
      <c r="V310" s="35"/>
      <c r="W310" s="19"/>
    </row>
    <row r="311" spans="1:23">
      <c r="A311" s="18"/>
      <c r="B311" s="19"/>
      <c r="C311" s="18"/>
      <c r="D311" s="19"/>
      <c r="E311" s="18"/>
      <c r="F311" s="19"/>
      <c r="G311" s="19"/>
      <c r="H311" s="19"/>
      <c r="I311" s="18"/>
      <c r="J311" s="18"/>
      <c r="K311" s="18"/>
      <c r="L311" s="18"/>
      <c r="M311" s="32" t="str">
        <f>IF(OR(K311="",L311=""),"",MATCH(K311,Lists!$C$2:$C$5,0)*MATCH(L311,Lists!$D$2:$D$6,0))</f>
        <v/>
      </c>
      <c r="N311" s="32" t="str">
        <f t="shared" si="8"/>
        <v/>
      </c>
      <c r="O311" s="32" t="str">
        <f t="shared" si="9"/>
        <v/>
      </c>
      <c r="P311" s="18"/>
      <c r="Q311" s="18"/>
      <c r="R311" s="18"/>
      <c r="S311" s="18"/>
      <c r="T311" s="18"/>
      <c r="U311" s="18"/>
      <c r="V311" s="35"/>
      <c r="W311" s="19"/>
    </row>
    <row r="312" spans="1:23">
      <c r="A312" s="18"/>
      <c r="B312" s="19"/>
      <c r="C312" s="18"/>
      <c r="D312" s="19"/>
      <c r="E312" s="18"/>
      <c r="F312" s="19"/>
      <c r="G312" s="19"/>
      <c r="H312" s="19"/>
      <c r="I312" s="18"/>
      <c r="J312" s="18"/>
      <c r="K312" s="18"/>
      <c r="L312" s="18"/>
      <c r="M312" s="32" t="str">
        <f>IF(OR(K312="",L312=""),"",MATCH(K312,Lists!$C$2:$C$5,0)*MATCH(L312,Lists!$D$2:$D$6,0))</f>
        <v/>
      </c>
      <c r="N312" s="32" t="str">
        <f t="shared" si="8"/>
        <v/>
      </c>
      <c r="O312" s="32" t="str">
        <f t="shared" si="9"/>
        <v/>
      </c>
      <c r="P312" s="18"/>
      <c r="Q312" s="18"/>
      <c r="R312" s="18"/>
      <c r="S312" s="18"/>
      <c r="T312" s="18"/>
      <c r="U312" s="18"/>
      <c r="V312" s="35"/>
      <c r="W312" s="19"/>
    </row>
    <row r="313" spans="1:23">
      <c r="A313" s="18"/>
      <c r="B313" s="19"/>
      <c r="C313" s="18"/>
      <c r="D313" s="19"/>
      <c r="E313" s="18"/>
      <c r="F313" s="19"/>
      <c r="G313" s="19"/>
      <c r="H313" s="19"/>
      <c r="I313" s="18"/>
      <c r="J313" s="18"/>
      <c r="K313" s="18"/>
      <c r="L313" s="18"/>
      <c r="M313" s="32" t="str">
        <f>IF(OR(K313="",L313=""),"",MATCH(K313,Lists!$C$2:$C$5,0)*MATCH(L313,Lists!$D$2:$D$6,0))</f>
        <v/>
      </c>
      <c r="N313" s="32" t="str">
        <f t="shared" si="8"/>
        <v/>
      </c>
      <c r="O313" s="32" t="str">
        <f t="shared" si="9"/>
        <v/>
      </c>
      <c r="P313" s="18"/>
      <c r="Q313" s="18"/>
      <c r="R313" s="18"/>
      <c r="S313" s="18"/>
      <c r="T313" s="18"/>
      <c r="U313" s="18"/>
      <c r="V313" s="35"/>
      <c r="W313" s="19"/>
    </row>
    <row r="314" spans="1:23">
      <c r="A314" s="18"/>
      <c r="B314" s="19"/>
      <c r="C314" s="18"/>
      <c r="D314" s="19"/>
      <c r="E314" s="18"/>
      <c r="F314" s="19"/>
      <c r="G314" s="19"/>
      <c r="H314" s="19"/>
      <c r="I314" s="18"/>
      <c r="J314" s="18"/>
      <c r="K314" s="18"/>
      <c r="L314" s="18"/>
      <c r="M314" s="32" t="str">
        <f>IF(OR(K314="",L314=""),"",MATCH(K314,Lists!$C$2:$C$5,0)*MATCH(L314,Lists!$D$2:$D$6,0))</f>
        <v/>
      </c>
      <c r="N314" s="32" t="str">
        <f t="shared" si="8"/>
        <v/>
      </c>
      <c r="O314" s="32" t="str">
        <f t="shared" si="9"/>
        <v/>
      </c>
      <c r="P314" s="18"/>
      <c r="Q314" s="18"/>
      <c r="R314" s="18"/>
      <c r="S314" s="18"/>
      <c r="T314" s="18"/>
      <c r="U314" s="18"/>
      <c r="V314" s="35"/>
      <c r="W314" s="19"/>
    </row>
    <row r="315" spans="1:23">
      <c r="A315" s="18"/>
      <c r="B315" s="19"/>
      <c r="C315" s="18"/>
      <c r="D315" s="19"/>
      <c r="E315" s="18"/>
      <c r="F315" s="19"/>
      <c r="G315" s="19"/>
      <c r="H315" s="19"/>
      <c r="I315" s="18"/>
      <c r="J315" s="18"/>
      <c r="K315" s="18"/>
      <c r="L315" s="18"/>
      <c r="M315" s="32" t="str">
        <f>IF(OR(K315="",L315=""),"",MATCH(K315,Lists!$C$2:$C$5,0)*MATCH(L315,Lists!$D$2:$D$6,0))</f>
        <v/>
      </c>
      <c r="N315" s="32" t="str">
        <f t="shared" si="8"/>
        <v/>
      </c>
      <c r="O315" s="32" t="str">
        <f t="shared" si="9"/>
        <v/>
      </c>
      <c r="P315" s="18"/>
      <c r="Q315" s="18"/>
      <c r="R315" s="18"/>
      <c r="S315" s="18"/>
      <c r="T315" s="18"/>
      <c r="U315" s="18"/>
      <c r="V315" s="35"/>
      <c r="W315" s="19"/>
    </row>
    <row r="316" spans="1:23">
      <c r="A316" s="18"/>
      <c r="B316" s="19"/>
      <c r="C316" s="18"/>
      <c r="D316" s="19"/>
      <c r="E316" s="18"/>
      <c r="F316" s="19"/>
      <c r="G316" s="19"/>
      <c r="H316" s="19"/>
      <c r="I316" s="18"/>
      <c r="J316" s="18"/>
      <c r="K316" s="18"/>
      <c r="L316" s="18"/>
      <c r="M316" s="32" t="str">
        <f>IF(OR(K316="",L316=""),"",MATCH(K316,Lists!$C$2:$C$5,0)*MATCH(L316,Lists!$D$2:$D$6,0))</f>
        <v/>
      </c>
      <c r="N316" s="32" t="str">
        <f t="shared" si="8"/>
        <v/>
      </c>
      <c r="O316" s="32" t="str">
        <f t="shared" si="9"/>
        <v/>
      </c>
      <c r="P316" s="18"/>
      <c r="Q316" s="18"/>
      <c r="R316" s="18"/>
      <c r="S316" s="18"/>
      <c r="T316" s="18"/>
      <c r="U316" s="18"/>
      <c r="V316" s="35"/>
      <c r="W316" s="19"/>
    </row>
    <row r="317" spans="1:23">
      <c r="A317" s="18"/>
      <c r="B317" s="19"/>
      <c r="C317" s="18"/>
      <c r="D317" s="19"/>
      <c r="E317" s="18"/>
      <c r="F317" s="19"/>
      <c r="G317" s="19"/>
      <c r="H317" s="19"/>
      <c r="I317" s="18"/>
      <c r="J317" s="18"/>
      <c r="K317" s="18"/>
      <c r="L317" s="18"/>
      <c r="M317" s="32" t="str">
        <f>IF(OR(K317="",L317=""),"",MATCH(K317,Lists!$C$2:$C$5,0)*MATCH(L317,Lists!$D$2:$D$6,0))</f>
        <v/>
      </c>
      <c r="N317" s="32" t="str">
        <f t="shared" si="8"/>
        <v/>
      </c>
      <c r="O317" s="32" t="str">
        <f t="shared" si="9"/>
        <v/>
      </c>
      <c r="P317" s="18"/>
      <c r="Q317" s="18"/>
      <c r="R317" s="18"/>
      <c r="S317" s="18"/>
      <c r="T317" s="18"/>
      <c r="U317" s="18"/>
      <c r="V317" s="35"/>
      <c r="W317" s="19"/>
    </row>
    <row r="318" spans="1:23">
      <c r="A318" s="18"/>
      <c r="B318" s="19"/>
      <c r="C318" s="18"/>
      <c r="D318" s="19"/>
      <c r="E318" s="18"/>
      <c r="F318" s="19"/>
      <c r="G318" s="19"/>
      <c r="H318" s="19"/>
      <c r="I318" s="18"/>
      <c r="J318" s="18"/>
      <c r="K318" s="18"/>
      <c r="L318" s="18"/>
      <c r="M318" s="32" t="str">
        <f>IF(OR(K318="",L318=""),"",MATCH(K318,Lists!$C$2:$C$5,0)*MATCH(L318,Lists!$D$2:$D$6,0))</f>
        <v/>
      </c>
      <c r="N318" s="32" t="str">
        <f t="shared" si="8"/>
        <v/>
      </c>
      <c r="O318" s="32" t="str">
        <f t="shared" si="9"/>
        <v/>
      </c>
      <c r="P318" s="18"/>
      <c r="Q318" s="18"/>
      <c r="R318" s="18"/>
      <c r="S318" s="18"/>
      <c r="T318" s="18"/>
      <c r="U318" s="18"/>
      <c r="V318" s="35"/>
      <c r="W318" s="19"/>
    </row>
    <row r="319" spans="1:23">
      <c r="A319" s="18"/>
      <c r="B319" s="19"/>
      <c r="C319" s="18"/>
      <c r="D319" s="19"/>
      <c r="E319" s="18"/>
      <c r="F319" s="19"/>
      <c r="G319" s="19"/>
      <c r="H319" s="19"/>
      <c r="I319" s="18"/>
      <c r="J319" s="18"/>
      <c r="K319" s="18"/>
      <c r="L319" s="18"/>
      <c r="M319" s="32" t="str">
        <f>IF(OR(K319="",L319=""),"",MATCH(K319,Lists!$C$2:$C$5,0)*MATCH(L319,Lists!$D$2:$D$6,0))</f>
        <v/>
      </c>
      <c r="N319" s="32" t="str">
        <f t="shared" si="8"/>
        <v/>
      </c>
      <c r="O319" s="32" t="str">
        <f t="shared" si="9"/>
        <v/>
      </c>
      <c r="P319" s="18"/>
      <c r="Q319" s="18"/>
      <c r="R319" s="18"/>
      <c r="S319" s="18"/>
      <c r="T319" s="18"/>
      <c r="U319" s="18"/>
      <c r="V319" s="35"/>
      <c r="W319" s="19"/>
    </row>
    <row r="320" spans="1:23">
      <c r="A320" s="18"/>
      <c r="B320" s="19"/>
      <c r="C320" s="18"/>
      <c r="D320" s="19"/>
      <c r="E320" s="18"/>
      <c r="F320" s="19"/>
      <c r="G320" s="19"/>
      <c r="H320" s="19"/>
      <c r="I320" s="18"/>
      <c r="J320" s="18"/>
      <c r="K320" s="18"/>
      <c r="L320" s="18"/>
      <c r="M320" s="32" t="str">
        <f>IF(OR(K320="",L320=""),"",MATCH(K320,Lists!$C$2:$C$5,0)*MATCH(L320,Lists!$D$2:$D$6,0))</f>
        <v/>
      </c>
      <c r="N320" s="32" t="str">
        <f t="shared" si="8"/>
        <v/>
      </c>
      <c r="O320" s="32" t="str">
        <f t="shared" si="9"/>
        <v/>
      </c>
      <c r="P320" s="18"/>
      <c r="Q320" s="18"/>
      <c r="R320" s="18"/>
      <c r="S320" s="18"/>
      <c r="T320" s="18"/>
      <c r="U320" s="18"/>
      <c r="V320" s="35"/>
      <c r="W320" s="19"/>
    </row>
    <row r="321" spans="1:23">
      <c r="A321" s="18"/>
      <c r="B321" s="19"/>
      <c r="C321" s="18"/>
      <c r="D321" s="19"/>
      <c r="E321" s="18"/>
      <c r="F321" s="19"/>
      <c r="G321" s="19"/>
      <c r="H321" s="19"/>
      <c r="I321" s="18"/>
      <c r="J321" s="18"/>
      <c r="K321" s="18"/>
      <c r="L321" s="18"/>
      <c r="M321" s="32" t="str">
        <f>IF(OR(K321="",L321=""),"",MATCH(K321,Lists!$C$2:$C$5,0)*MATCH(L321,Lists!$D$2:$D$6,0))</f>
        <v/>
      </c>
      <c r="N321" s="32" t="str">
        <f t="shared" si="8"/>
        <v/>
      </c>
      <c r="O321" s="32" t="str">
        <f t="shared" si="9"/>
        <v/>
      </c>
      <c r="P321" s="18"/>
      <c r="Q321" s="18"/>
      <c r="R321" s="18"/>
      <c r="S321" s="18"/>
      <c r="T321" s="18"/>
      <c r="U321" s="18"/>
      <c r="V321" s="35"/>
      <c r="W321" s="19"/>
    </row>
    <row r="322" spans="1:23">
      <c r="A322" s="18"/>
      <c r="B322" s="19"/>
      <c r="C322" s="18"/>
      <c r="D322" s="19"/>
      <c r="E322" s="18"/>
      <c r="F322" s="19"/>
      <c r="G322" s="19"/>
      <c r="H322" s="19"/>
      <c r="I322" s="18"/>
      <c r="J322" s="18"/>
      <c r="K322" s="18"/>
      <c r="L322" s="18"/>
      <c r="M322" s="32" t="str">
        <f>IF(OR(K322="",L322=""),"",MATCH(K322,Lists!$C$2:$C$5,0)*MATCH(L322,Lists!$D$2:$D$6,0))</f>
        <v/>
      </c>
      <c r="N322" s="32" t="str">
        <f t="shared" ref="N322:N385" si="10">IF(M322="","",IF(M322&gt;=12,"Critical",IF(M322&gt;=8,"High",IF(M322&gt;=4,"Medium","Low"))))</f>
        <v/>
      </c>
      <c r="O322" s="32" t="str">
        <f t="shared" ref="O322:O385" si="11">IF(N322="","",IF(N322="Critical","P1",IF(N322="High","P2",IF(N322="Medium","P3","P4"))))</f>
        <v/>
      </c>
      <c r="P322" s="18"/>
      <c r="Q322" s="18"/>
      <c r="R322" s="18"/>
      <c r="S322" s="18"/>
      <c r="T322" s="18"/>
      <c r="U322" s="18"/>
      <c r="V322" s="35"/>
      <c r="W322" s="19"/>
    </row>
    <row r="323" spans="1:23">
      <c r="A323" s="18"/>
      <c r="B323" s="19"/>
      <c r="C323" s="18"/>
      <c r="D323" s="19"/>
      <c r="E323" s="18"/>
      <c r="F323" s="19"/>
      <c r="G323" s="19"/>
      <c r="H323" s="19"/>
      <c r="I323" s="18"/>
      <c r="J323" s="18"/>
      <c r="K323" s="18"/>
      <c r="L323" s="18"/>
      <c r="M323" s="32" t="str">
        <f>IF(OR(K323="",L323=""),"",MATCH(K323,Lists!$C$2:$C$5,0)*MATCH(L323,Lists!$D$2:$D$6,0))</f>
        <v/>
      </c>
      <c r="N323" s="32" t="str">
        <f t="shared" si="10"/>
        <v/>
      </c>
      <c r="O323" s="32" t="str">
        <f t="shared" si="11"/>
        <v/>
      </c>
      <c r="P323" s="18"/>
      <c r="Q323" s="18"/>
      <c r="R323" s="18"/>
      <c r="S323" s="18"/>
      <c r="T323" s="18"/>
      <c r="U323" s="18"/>
      <c r="V323" s="35"/>
      <c r="W323" s="19"/>
    </row>
    <row r="324" spans="1:23">
      <c r="A324" s="18"/>
      <c r="B324" s="19"/>
      <c r="C324" s="18"/>
      <c r="D324" s="19"/>
      <c r="E324" s="18"/>
      <c r="F324" s="19"/>
      <c r="G324" s="19"/>
      <c r="H324" s="19"/>
      <c r="I324" s="18"/>
      <c r="J324" s="18"/>
      <c r="K324" s="18"/>
      <c r="L324" s="18"/>
      <c r="M324" s="32" t="str">
        <f>IF(OR(K324="",L324=""),"",MATCH(K324,Lists!$C$2:$C$5,0)*MATCH(L324,Lists!$D$2:$D$6,0))</f>
        <v/>
      </c>
      <c r="N324" s="32" t="str">
        <f t="shared" si="10"/>
        <v/>
      </c>
      <c r="O324" s="32" t="str">
        <f t="shared" si="11"/>
        <v/>
      </c>
      <c r="P324" s="18"/>
      <c r="Q324" s="18"/>
      <c r="R324" s="18"/>
      <c r="S324" s="18"/>
      <c r="T324" s="18"/>
      <c r="U324" s="18"/>
      <c r="V324" s="35"/>
      <c r="W324" s="19"/>
    </row>
    <row r="325" spans="1:23">
      <c r="A325" s="18"/>
      <c r="B325" s="19"/>
      <c r="C325" s="18"/>
      <c r="D325" s="19"/>
      <c r="E325" s="18"/>
      <c r="F325" s="19"/>
      <c r="G325" s="19"/>
      <c r="H325" s="19"/>
      <c r="I325" s="18"/>
      <c r="J325" s="18"/>
      <c r="K325" s="18"/>
      <c r="L325" s="18"/>
      <c r="M325" s="32" t="str">
        <f>IF(OR(K325="",L325=""),"",MATCH(K325,Lists!$C$2:$C$5,0)*MATCH(L325,Lists!$D$2:$D$6,0))</f>
        <v/>
      </c>
      <c r="N325" s="32" t="str">
        <f t="shared" si="10"/>
        <v/>
      </c>
      <c r="O325" s="32" t="str">
        <f t="shared" si="11"/>
        <v/>
      </c>
      <c r="P325" s="18"/>
      <c r="Q325" s="18"/>
      <c r="R325" s="18"/>
      <c r="S325" s="18"/>
      <c r="T325" s="18"/>
      <c r="U325" s="18"/>
      <c r="V325" s="35"/>
      <c r="W325" s="19"/>
    </row>
    <row r="326" spans="1:23">
      <c r="A326" s="18"/>
      <c r="B326" s="19"/>
      <c r="C326" s="18"/>
      <c r="D326" s="19"/>
      <c r="E326" s="18"/>
      <c r="F326" s="19"/>
      <c r="G326" s="19"/>
      <c r="H326" s="19"/>
      <c r="I326" s="18"/>
      <c r="J326" s="18"/>
      <c r="K326" s="18"/>
      <c r="L326" s="18"/>
      <c r="M326" s="32" t="str">
        <f>IF(OR(K326="",L326=""),"",MATCH(K326,Lists!$C$2:$C$5,0)*MATCH(L326,Lists!$D$2:$D$6,0))</f>
        <v/>
      </c>
      <c r="N326" s="32" t="str">
        <f t="shared" si="10"/>
        <v/>
      </c>
      <c r="O326" s="32" t="str">
        <f t="shared" si="11"/>
        <v/>
      </c>
      <c r="P326" s="18"/>
      <c r="Q326" s="18"/>
      <c r="R326" s="18"/>
      <c r="S326" s="18"/>
      <c r="T326" s="18"/>
      <c r="U326" s="18"/>
      <c r="V326" s="35"/>
      <c r="W326" s="19"/>
    </row>
    <row r="327" spans="1:23">
      <c r="A327" s="18"/>
      <c r="B327" s="19"/>
      <c r="C327" s="18"/>
      <c r="D327" s="19"/>
      <c r="E327" s="18"/>
      <c r="F327" s="19"/>
      <c r="G327" s="19"/>
      <c r="H327" s="19"/>
      <c r="I327" s="18"/>
      <c r="J327" s="18"/>
      <c r="K327" s="18"/>
      <c r="L327" s="18"/>
      <c r="M327" s="32" t="str">
        <f>IF(OR(K327="",L327=""),"",MATCH(K327,Lists!$C$2:$C$5,0)*MATCH(L327,Lists!$D$2:$D$6,0))</f>
        <v/>
      </c>
      <c r="N327" s="32" t="str">
        <f t="shared" si="10"/>
        <v/>
      </c>
      <c r="O327" s="32" t="str">
        <f t="shared" si="11"/>
        <v/>
      </c>
      <c r="P327" s="18"/>
      <c r="Q327" s="18"/>
      <c r="R327" s="18"/>
      <c r="S327" s="18"/>
      <c r="T327" s="18"/>
      <c r="U327" s="18"/>
      <c r="V327" s="35"/>
      <c r="W327" s="19"/>
    </row>
    <row r="328" spans="1:23">
      <c r="A328" s="18"/>
      <c r="B328" s="19"/>
      <c r="C328" s="18"/>
      <c r="D328" s="19"/>
      <c r="E328" s="18"/>
      <c r="F328" s="19"/>
      <c r="G328" s="19"/>
      <c r="H328" s="19"/>
      <c r="I328" s="18"/>
      <c r="J328" s="18"/>
      <c r="K328" s="18"/>
      <c r="L328" s="18"/>
      <c r="M328" s="32" t="str">
        <f>IF(OR(K328="",L328=""),"",MATCH(K328,Lists!$C$2:$C$5,0)*MATCH(L328,Lists!$D$2:$D$6,0))</f>
        <v/>
      </c>
      <c r="N328" s="32" t="str">
        <f t="shared" si="10"/>
        <v/>
      </c>
      <c r="O328" s="32" t="str">
        <f t="shared" si="11"/>
        <v/>
      </c>
      <c r="P328" s="18"/>
      <c r="Q328" s="18"/>
      <c r="R328" s="18"/>
      <c r="S328" s="18"/>
      <c r="T328" s="18"/>
      <c r="U328" s="18"/>
      <c r="V328" s="35"/>
      <c r="W328" s="19"/>
    </row>
    <row r="329" spans="1:23">
      <c r="A329" s="18"/>
      <c r="B329" s="19"/>
      <c r="C329" s="18"/>
      <c r="D329" s="19"/>
      <c r="E329" s="18"/>
      <c r="F329" s="19"/>
      <c r="G329" s="19"/>
      <c r="H329" s="19"/>
      <c r="I329" s="18"/>
      <c r="J329" s="18"/>
      <c r="K329" s="18"/>
      <c r="L329" s="18"/>
      <c r="M329" s="32" t="str">
        <f>IF(OR(K329="",L329=""),"",MATCH(K329,Lists!$C$2:$C$5,0)*MATCH(L329,Lists!$D$2:$D$6,0))</f>
        <v/>
      </c>
      <c r="N329" s="32" t="str">
        <f t="shared" si="10"/>
        <v/>
      </c>
      <c r="O329" s="32" t="str">
        <f t="shared" si="11"/>
        <v/>
      </c>
      <c r="P329" s="18"/>
      <c r="Q329" s="18"/>
      <c r="R329" s="18"/>
      <c r="S329" s="18"/>
      <c r="T329" s="18"/>
      <c r="U329" s="18"/>
      <c r="V329" s="35"/>
      <c r="W329" s="19"/>
    </row>
    <row r="330" spans="1:23">
      <c r="A330" s="18"/>
      <c r="B330" s="19"/>
      <c r="C330" s="18"/>
      <c r="D330" s="19"/>
      <c r="E330" s="18"/>
      <c r="F330" s="19"/>
      <c r="G330" s="19"/>
      <c r="H330" s="19"/>
      <c r="I330" s="18"/>
      <c r="J330" s="18"/>
      <c r="K330" s="18"/>
      <c r="L330" s="18"/>
      <c r="M330" s="32" t="str">
        <f>IF(OR(K330="",L330=""),"",MATCH(K330,Lists!$C$2:$C$5,0)*MATCH(L330,Lists!$D$2:$D$6,0))</f>
        <v/>
      </c>
      <c r="N330" s="32" t="str">
        <f t="shared" si="10"/>
        <v/>
      </c>
      <c r="O330" s="32" t="str">
        <f t="shared" si="11"/>
        <v/>
      </c>
      <c r="P330" s="18"/>
      <c r="Q330" s="18"/>
      <c r="R330" s="18"/>
      <c r="S330" s="18"/>
      <c r="T330" s="18"/>
      <c r="U330" s="18"/>
      <c r="V330" s="35"/>
      <c r="W330" s="19"/>
    </row>
    <row r="331" spans="1:23">
      <c r="A331" s="18"/>
      <c r="B331" s="19"/>
      <c r="C331" s="18"/>
      <c r="D331" s="19"/>
      <c r="E331" s="18"/>
      <c r="F331" s="19"/>
      <c r="G331" s="19"/>
      <c r="H331" s="19"/>
      <c r="I331" s="18"/>
      <c r="J331" s="18"/>
      <c r="K331" s="18"/>
      <c r="L331" s="18"/>
      <c r="M331" s="32" t="str">
        <f>IF(OR(K331="",L331=""),"",MATCH(K331,Lists!$C$2:$C$5,0)*MATCH(L331,Lists!$D$2:$D$6,0))</f>
        <v/>
      </c>
      <c r="N331" s="32" t="str">
        <f t="shared" si="10"/>
        <v/>
      </c>
      <c r="O331" s="32" t="str">
        <f t="shared" si="11"/>
        <v/>
      </c>
      <c r="P331" s="18"/>
      <c r="Q331" s="18"/>
      <c r="R331" s="18"/>
      <c r="S331" s="18"/>
      <c r="T331" s="18"/>
      <c r="U331" s="18"/>
      <c r="V331" s="35"/>
      <c r="W331" s="19"/>
    </row>
    <row r="332" spans="1:23">
      <c r="A332" s="18"/>
      <c r="B332" s="19"/>
      <c r="C332" s="18"/>
      <c r="D332" s="19"/>
      <c r="E332" s="18"/>
      <c r="F332" s="19"/>
      <c r="G332" s="19"/>
      <c r="H332" s="19"/>
      <c r="I332" s="18"/>
      <c r="J332" s="18"/>
      <c r="K332" s="18"/>
      <c r="L332" s="18"/>
      <c r="M332" s="32" t="str">
        <f>IF(OR(K332="",L332=""),"",MATCH(K332,Lists!$C$2:$C$5,0)*MATCH(L332,Lists!$D$2:$D$6,0))</f>
        <v/>
      </c>
      <c r="N332" s="32" t="str">
        <f t="shared" si="10"/>
        <v/>
      </c>
      <c r="O332" s="32" t="str">
        <f t="shared" si="11"/>
        <v/>
      </c>
      <c r="P332" s="18"/>
      <c r="Q332" s="18"/>
      <c r="R332" s="18"/>
      <c r="S332" s="18"/>
      <c r="T332" s="18"/>
      <c r="U332" s="18"/>
      <c r="V332" s="35"/>
      <c r="W332" s="19"/>
    </row>
    <row r="333" spans="1:23">
      <c r="A333" s="18"/>
      <c r="B333" s="19"/>
      <c r="C333" s="18"/>
      <c r="D333" s="19"/>
      <c r="E333" s="18"/>
      <c r="F333" s="19"/>
      <c r="G333" s="19"/>
      <c r="H333" s="19"/>
      <c r="I333" s="18"/>
      <c r="J333" s="18"/>
      <c r="K333" s="18"/>
      <c r="L333" s="18"/>
      <c r="M333" s="32" t="str">
        <f>IF(OR(K333="",L333=""),"",MATCH(K333,Lists!$C$2:$C$5,0)*MATCH(L333,Lists!$D$2:$D$6,0))</f>
        <v/>
      </c>
      <c r="N333" s="32" t="str">
        <f t="shared" si="10"/>
        <v/>
      </c>
      <c r="O333" s="32" t="str">
        <f t="shared" si="11"/>
        <v/>
      </c>
      <c r="P333" s="18"/>
      <c r="Q333" s="18"/>
      <c r="R333" s="18"/>
      <c r="S333" s="18"/>
      <c r="T333" s="18"/>
      <c r="U333" s="18"/>
      <c r="V333" s="35"/>
      <c r="W333" s="19"/>
    </row>
    <row r="334" spans="1:23">
      <c r="A334" s="18"/>
      <c r="B334" s="19"/>
      <c r="C334" s="18"/>
      <c r="D334" s="19"/>
      <c r="E334" s="18"/>
      <c r="F334" s="19"/>
      <c r="G334" s="19"/>
      <c r="H334" s="19"/>
      <c r="I334" s="18"/>
      <c r="J334" s="18"/>
      <c r="K334" s="18"/>
      <c r="L334" s="18"/>
      <c r="M334" s="32" t="str">
        <f>IF(OR(K334="",L334=""),"",MATCH(K334,Lists!$C$2:$C$5,0)*MATCH(L334,Lists!$D$2:$D$6,0))</f>
        <v/>
      </c>
      <c r="N334" s="32" t="str">
        <f t="shared" si="10"/>
        <v/>
      </c>
      <c r="O334" s="32" t="str">
        <f t="shared" si="11"/>
        <v/>
      </c>
      <c r="P334" s="18"/>
      <c r="Q334" s="18"/>
      <c r="R334" s="18"/>
      <c r="S334" s="18"/>
      <c r="T334" s="18"/>
      <c r="U334" s="18"/>
      <c r="V334" s="35"/>
      <c r="W334" s="19"/>
    </row>
    <row r="335" spans="1:23">
      <c r="A335" s="18"/>
      <c r="B335" s="19"/>
      <c r="C335" s="18"/>
      <c r="D335" s="19"/>
      <c r="E335" s="18"/>
      <c r="F335" s="19"/>
      <c r="G335" s="19"/>
      <c r="H335" s="19"/>
      <c r="I335" s="18"/>
      <c r="J335" s="18"/>
      <c r="K335" s="18"/>
      <c r="L335" s="18"/>
      <c r="M335" s="32" t="str">
        <f>IF(OR(K335="",L335=""),"",MATCH(K335,Lists!$C$2:$C$5,0)*MATCH(L335,Lists!$D$2:$D$6,0))</f>
        <v/>
      </c>
      <c r="N335" s="32" t="str">
        <f t="shared" si="10"/>
        <v/>
      </c>
      <c r="O335" s="32" t="str">
        <f t="shared" si="11"/>
        <v/>
      </c>
      <c r="P335" s="18"/>
      <c r="Q335" s="18"/>
      <c r="R335" s="18"/>
      <c r="S335" s="18"/>
      <c r="T335" s="18"/>
      <c r="U335" s="18"/>
      <c r="V335" s="35"/>
      <c r="W335" s="19"/>
    </row>
    <row r="336" spans="1:23">
      <c r="A336" s="18"/>
      <c r="B336" s="19"/>
      <c r="C336" s="18"/>
      <c r="D336" s="19"/>
      <c r="E336" s="18"/>
      <c r="F336" s="19"/>
      <c r="G336" s="19"/>
      <c r="H336" s="19"/>
      <c r="I336" s="18"/>
      <c r="J336" s="18"/>
      <c r="K336" s="18"/>
      <c r="L336" s="18"/>
      <c r="M336" s="32" t="str">
        <f>IF(OR(K336="",L336=""),"",MATCH(K336,Lists!$C$2:$C$5,0)*MATCH(L336,Lists!$D$2:$D$6,0))</f>
        <v/>
      </c>
      <c r="N336" s="32" t="str">
        <f t="shared" si="10"/>
        <v/>
      </c>
      <c r="O336" s="32" t="str">
        <f t="shared" si="11"/>
        <v/>
      </c>
      <c r="P336" s="18"/>
      <c r="Q336" s="18"/>
      <c r="R336" s="18"/>
      <c r="S336" s="18"/>
      <c r="T336" s="18"/>
      <c r="U336" s="18"/>
      <c r="V336" s="35"/>
      <c r="W336" s="19"/>
    </row>
    <row r="337" spans="1:23">
      <c r="A337" s="18"/>
      <c r="B337" s="19"/>
      <c r="C337" s="18"/>
      <c r="D337" s="19"/>
      <c r="E337" s="18"/>
      <c r="F337" s="19"/>
      <c r="G337" s="19"/>
      <c r="H337" s="19"/>
      <c r="I337" s="18"/>
      <c r="J337" s="18"/>
      <c r="K337" s="18"/>
      <c r="L337" s="18"/>
      <c r="M337" s="32" t="str">
        <f>IF(OR(K337="",L337=""),"",MATCH(K337,Lists!$C$2:$C$5,0)*MATCH(L337,Lists!$D$2:$D$6,0))</f>
        <v/>
      </c>
      <c r="N337" s="32" t="str">
        <f t="shared" si="10"/>
        <v/>
      </c>
      <c r="O337" s="32" t="str">
        <f t="shared" si="11"/>
        <v/>
      </c>
      <c r="P337" s="18"/>
      <c r="Q337" s="18"/>
      <c r="R337" s="18"/>
      <c r="S337" s="18"/>
      <c r="T337" s="18"/>
      <c r="U337" s="18"/>
      <c r="V337" s="35"/>
      <c r="W337" s="19"/>
    </row>
    <row r="338" spans="1:23">
      <c r="A338" s="18"/>
      <c r="B338" s="19"/>
      <c r="C338" s="18"/>
      <c r="D338" s="19"/>
      <c r="E338" s="18"/>
      <c r="F338" s="19"/>
      <c r="G338" s="19"/>
      <c r="H338" s="19"/>
      <c r="I338" s="18"/>
      <c r="J338" s="18"/>
      <c r="K338" s="18"/>
      <c r="L338" s="18"/>
      <c r="M338" s="32" t="str">
        <f>IF(OR(K338="",L338=""),"",MATCH(K338,Lists!$C$2:$C$5,0)*MATCH(L338,Lists!$D$2:$D$6,0))</f>
        <v/>
      </c>
      <c r="N338" s="32" t="str">
        <f t="shared" si="10"/>
        <v/>
      </c>
      <c r="O338" s="32" t="str">
        <f t="shared" si="11"/>
        <v/>
      </c>
      <c r="P338" s="18"/>
      <c r="Q338" s="18"/>
      <c r="R338" s="18"/>
      <c r="S338" s="18"/>
      <c r="T338" s="18"/>
      <c r="U338" s="18"/>
      <c r="V338" s="35"/>
      <c r="W338" s="19"/>
    </row>
    <row r="339" spans="1:23">
      <c r="A339" s="18"/>
      <c r="B339" s="19"/>
      <c r="C339" s="18"/>
      <c r="D339" s="19"/>
      <c r="E339" s="18"/>
      <c r="F339" s="19"/>
      <c r="G339" s="19"/>
      <c r="H339" s="19"/>
      <c r="I339" s="18"/>
      <c r="J339" s="18"/>
      <c r="K339" s="18"/>
      <c r="L339" s="18"/>
      <c r="M339" s="32" t="str">
        <f>IF(OR(K339="",L339=""),"",MATCH(K339,Lists!$C$2:$C$5,0)*MATCH(L339,Lists!$D$2:$D$6,0))</f>
        <v/>
      </c>
      <c r="N339" s="32" t="str">
        <f t="shared" si="10"/>
        <v/>
      </c>
      <c r="O339" s="32" t="str">
        <f t="shared" si="11"/>
        <v/>
      </c>
      <c r="P339" s="18"/>
      <c r="Q339" s="18"/>
      <c r="R339" s="18"/>
      <c r="S339" s="18"/>
      <c r="T339" s="18"/>
      <c r="U339" s="18"/>
      <c r="V339" s="35"/>
      <c r="W339" s="19"/>
    </row>
    <row r="340" spans="1:23">
      <c r="A340" s="18"/>
      <c r="B340" s="19"/>
      <c r="C340" s="18"/>
      <c r="D340" s="19"/>
      <c r="E340" s="18"/>
      <c r="F340" s="19"/>
      <c r="G340" s="19"/>
      <c r="H340" s="19"/>
      <c r="I340" s="18"/>
      <c r="J340" s="18"/>
      <c r="K340" s="18"/>
      <c r="L340" s="18"/>
      <c r="M340" s="32" t="str">
        <f>IF(OR(K340="",L340=""),"",MATCH(K340,Lists!$C$2:$C$5,0)*MATCH(L340,Lists!$D$2:$D$6,0))</f>
        <v/>
      </c>
      <c r="N340" s="32" t="str">
        <f t="shared" si="10"/>
        <v/>
      </c>
      <c r="O340" s="32" t="str">
        <f t="shared" si="11"/>
        <v/>
      </c>
      <c r="P340" s="18"/>
      <c r="Q340" s="18"/>
      <c r="R340" s="18"/>
      <c r="S340" s="18"/>
      <c r="T340" s="18"/>
      <c r="U340" s="18"/>
      <c r="V340" s="35"/>
      <c r="W340" s="19"/>
    </row>
    <row r="341" spans="1:23">
      <c r="A341" s="18"/>
      <c r="B341" s="19"/>
      <c r="C341" s="18"/>
      <c r="D341" s="19"/>
      <c r="E341" s="18"/>
      <c r="F341" s="19"/>
      <c r="G341" s="19"/>
      <c r="H341" s="19"/>
      <c r="I341" s="18"/>
      <c r="J341" s="18"/>
      <c r="K341" s="18"/>
      <c r="L341" s="18"/>
      <c r="M341" s="32" t="str">
        <f>IF(OR(K341="",L341=""),"",MATCH(K341,Lists!$C$2:$C$5,0)*MATCH(L341,Lists!$D$2:$D$6,0))</f>
        <v/>
      </c>
      <c r="N341" s="32" t="str">
        <f t="shared" si="10"/>
        <v/>
      </c>
      <c r="O341" s="32" t="str">
        <f t="shared" si="11"/>
        <v/>
      </c>
      <c r="P341" s="18"/>
      <c r="Q341" s="18"/>
      <c r="R341" s="18"/>
      <c r="S341" s="18"/>
      <c r="T341" s="18"/>
      <c r="U341" s="18"/>
      <c r="V341" s="35"/>
      <c r="W341" s="19"/>
    </row>
    <row r="342" spans="1:23">
      <c r="A342" s="18"/>
      <c r="B342" s="19"/>
      <c r="C342" s="18"/>
      <c r="D342" s="19"/>
      <c r="E342" s="18"/>
      <c r="F342" s="19"/>
      <c r="G342" s="19"/>
      <c r="H342" s="19"/>
      <c r="I342" s="18"/>
      <c r="J342" s="18"/>
      <c r="K342" s="18"/>
      <c r="L342" s="18"/>
      <c r="M342" s="32" t="str">
        <f>IF(OR(K342="",L342=""),"",MATCH(K342,Lists!$C$2:$C$5,0)*MATCH(L342,Lists!$D$2:$D$6,0))</f>
        <v/>
      </c>
      <c r="N342" s="32" t="str">
        <f t="shared" si="10"/>
        <v/>
      </c>
      <c r="O342" s="32" t="str">
        <f t="shared" si="11"/>
        <v/>
      </c>
      <c r="P342" s="18"/>
      <c r="Q342" s="18"/>
      <c r="R342" s="18"/>
      <c r="S342" s="18"/>
      <c r="T342" s="18"/>
      <c r="U342" s="18"/>
      <c r="V342" s="35"/>
      <c r="W342" s="19"/>
    </row>
    <row r="343" spans="1:23">
      <c r="A343" s="18"/>
      <c r="B343" s="19"/>
      <c r="C343" s="18"/>
      <c r="D343" s="19"/>
      <c r="E343" s="18"/>
      <c r="F343" s="19"/>
      <c r="G343" s="19"/>
      <c r="H343" s="19"/>
      <c r="I343" s="18"/>
      <c r="J343" s="18"/>
      <c r="K343" s="18"/>
      <c r="L343" s="18"/>
      <c r="M343" s="32" t="str">
        <f>IF(OR(K343="",L343=""),"",MATCH(K343,Lists!$C$2:$C$5,0)*MATCH(L343,Lists!$D$2:$D$6,0))</f>
        <v/>
      </c>
      <c r="N343" s="32" t="str">
        <f t="shared" si="10"/>
        <v/>
      </c>
      <c r="O343" s="32" t="str">
        <f t="shared" si="11"/>
        <v/>
      </c>
      <c r="P343" s="18"/>
      <c r="Q343" s="18"/>
      <c r="R343" s="18"/>
      <c r="S343" s="18"/>
      <c r="T343" s="18"/>
      <c r="U343" s="18"/>
      <c r="V343" s="35"/>
      <c r="W343" s="19"/>
    </row>
    <row r="344" spans="1:23">
      <c r="A344" s="18"/>
      <c r="B344" s="19"/>
      <c r="C344" s="18"/>
      <c r="D344" s="19"/>
      <c r="E344" s="18"/>
      <c r="F344" s="19"/>
      <c r="G344" s="19"/>
      <c r="H344" s="19"/>
      <c r="I344" s="18"/>
      <c r="J344" s="18"/>
      <c r="K344" s="18"/>
      <c r="L344" s="18"/>
      <c r="M344" s="32" t="str">
        <f>IF(OR(K344="",L344=""),"",MATCH(K344,Lists!$C$2:$C$5,0)*MATCH(L344,Lists!$D$2:$D$6,0))</f>
        <v/>
      </c>
      <c r="N344" s="32" t="str">
        <f t="shared" si="10"/>
        <v/>
      </c>
      <c r="O344" s="32" t="str">
        <f t="shared" si="11"/>
        <v/>
      </c>
      <c r="P344" s="18"/>
      <c r="Q344" s="18"/>
      <c r="R344" s="18"/>
      <c r="S344" s="18"/>
      <c r="T344" s="18"/>
      <c r="U344" s="18"/>
      <c r="V344" s="35"/>
      <c r="W344" s="19"/>
    </row>
    <row r="345" spans="1:23">
      <c r="A345" s="18"/>
      <c r="B345" s="19"/>
      <c r="C345" s="18"/>
      <c r="D345" s="19"/>
      <c r="E345" s="18"/>
      <c r="F345" s="19"/>
      <c r="G345" s="19"/>
      <c r="H345" s="19"/>
      <c r="I345" s="18"/>
      <c r="J345" s="18"/>
      <c r="K345" s="18"/>
      <c r="L345" s="18"/>
      <c r="M345" s="32" t="str">
        <f>IF(OR(K345="",L345=""),"",MATCH(K345,Lists!$C$2:$C$5,0)*MATCH(L345,Lists!$D$2:$D$6,0))</f>
        <v/>
      </c>
      <c r="N345" s="32" t="str">
        <f t="shared" si="10"/>
        <v/>
      </c>
      <c r="O345" s="32" t="str">
        <f t="shared" si="11"/>
        <v/>
      </c>
      <c r="P345" s="18"/>
      <c r="Q345" s="18"/>
      <c r="R345" s="18"/>
      <c r="S345" s="18"/>
      <c r="T345" s="18"/>
      <c r="U345" s="18"/>
      <c r="V345" s="35"/>
      <c r="W345" s="19"/>
    </row>
    <row r="346" spans="1:23">
      <c r="A346" s="18"/>
      <c r="B346" s="19"/>
      <c r="C346" s="18"/>
      <c r="D346" s="19"/>
      <c r="E346" s="18"/>
      <c r="F346" s="19"/>
      <c r="G346" s="19"/>
      <c r="H346" s="19"/>
      <c r="I346" s="18"/>
      <c r="J346" s="18"/>
      <c r="K346" s="18"/>
      <c r="L346" s="18"/>
      <c r="M346" s="32" t="str">
        <f>IF(OR(K346="",L346=""),"",MATCH(K346,Lists!$C$2:$C$5,0)*MATCH(L346,Lists!$D$2:$D$6,0))</f>
        <v/>
      </c>
      <c r="N346" s="32" t="str">
        <f t="shared" si="10"/>
        <v/>
      </c>
      <c r="O346" s="32" t="str">
        <f t="shared" si="11"/>
        <v/>
      </c>
      <c r="P346" s="18"/>
      <c r="Q346" s="18"/>
      <c r="R346" s="18"/>
      <c r="S346" s="18"/>
      <c r="T346" s="18"/>
      <c r="U346" s="18"/>
      <c r="V346" s="35"/>
      <c r="W346" s="19"/>
    </row>
    <row r="347" spans="1:23">
      <c r="A347" s="18"/>
      <c r="B347" s="19"/>
      <c r="C347" s="18"/>
      <c r="D347" s="19"/>
      <c r="E347" s="18"/>
      <c r="F347" s="19"/>
      <c r="G347" s="19"/>
      <c r="H347" s="19"/>
      <c r="I347" s="18"/>
      <c r="J347" s="18"/>
      <c r="K347" s="18"/>
      <c r="L347" s="18"/>
      <c r="M347" s="32" t="str">
        <f>IF(OR(K347="",L347=""),"",MATCH(K347,Lists!$C$2:$C$5,0)*MATCH(L347,Lists!$D$2:$D$6,0))</f>
        <v/>
      </c>
      <c r="N347" s="32" t="str">
        <f t="shared" si="10"/>
        <v/>
      </c>
      <c r="O347" s="32" t="str">
        <f t="shared" si="11"/>
        <v/>
      </c>
      <c r="P347" s="18"/>
      <c r="Q347" s="18"/>
      <c r="R347" s="18"/>
      <c r="S347" s="18"/>
      <c r="T347" s="18"/>
      <c r="U347" s="18"/>
      <c r="V347" s="35"/>
      <c r="W347" s="19"/>
    </row>
    <row r="348" spans="1:23">
      <c r="A348" s="18"/>
      <c r="B348" s="19"/>
      <c r="C348" s="18"/>
      <c r="D348" s="19"/>
      <c r="E348" s="18"/>
      <c r="F348" s="19"/>
      <c r="G348" s="19"/>
      <c r="H348" s="19"/>
      <c r="I348" s="18"/>
      <c r="J348" s="18"/>
      <c r="K348" s="18"/>
      <c r="L348" s="18"/>
      <c r="M348" s="32" t="str">
        <f>IF(OR(K348="",L348=""),"",MATCH(K348,Lists!$C$2:$C$5,0)*MATCH(L348,Lists!$D$2:$D$6,0))</f>
        <v/>
      </c>
      <c r="N348" s="32" t="str">
        <f t="shared" si="10"/>
        <v/>
      </c>
      <c r="O348" s="32" t="str">
        <f t="shared" si="11"/>
        <v/>
      </c>
      <c r="P348" s="18"/>
      <c r="Q348" s="18"/>
      <c r="R348" s="18"/>
      <c r="S348" s="18"/>
      <c r="T348" s="18"/>
      <c r="U348" s="18"/>
      <c r="V348" s="35"/>
      <c r="W348" s="19"/>
    </row>
    <row r="349" spans="1:23">
      <c r="A349" s="18"/>
      <c r="B349" s="19"/>
      <c r="C349" s="18"/>
      <c r="D349" s="19"/>
      <c r="E349" s="18"/>
      <c r="F349" s="19"/>
      <c r="G349" s="19"/>
      <c r="H349" s="19"/>
      <c r="I349" s="18"/>
      <c r="J349" s="18"/>
      <c r="K349" s="18"/>
      <c r="L349" s="18"/>
      <c r="M349" s="32" t="str">
        <f>IF(OR(K349="",L349=""),"",MATCH(K349,Lists!$C$2:$C$5,0)*MATCH(L349,Lists!$D$2:$D$6,0))</f>
        <v/>
      </c>
      <c r="N349" s="32" t="str">
        <f t="shared" si="10"/>
        <v/>
      </c>
      <c r="O349" s="32" t="str">
        <f t="shared" si="11"/>
        <v/>
      </c>
      <c r="P349" s="18"/>
      <c r="Q349" s="18"/>
      <c r="R349" s="18"/>
      <c r="S349" s="18"/>
      <c r="T349" s="18"/>
      <c r="U349" s="18"/>
      <c r="V349" s="35"/>
      <c r="W349" s="19"/>
    </row>
    <row r="350" spans="1:23">
      <c r="A350" s="18"/>
      <c r="B350" s="19"/>
      <c r="C350" s="18"/>
      <c r="D350" s="19"/>
      <c r="E350" s="18"/>
      <c r="F350" s="19"/>
      <c r="G350" s="19"/>
      <c r="H350" s="19"/>
      <c r="I350" s="18"/>
      <c r="J350" s="18"/>
      <c r="K350" s="18"/>
      <c r="L350" s="18"/>
      <c r="M350" s="32" t="str">
        <f>IF(OR(K350="",L350=""),"",MATCH(K350,Lists!$C$2:$C$5,0)*MATCH(L350,Lists!$D$2:$D$6,0))</f>
        <v/>
      </c>
      <c r="N350" s="32" t="str">
        <f t="shared" si="10"/>
        <v/>
      </c>
      <c r="O350" s="32" t="str">
        <f t="shared" si="11"/>
        <v/>
      </c>
      <c r="P350" s="18"/>
      <c r="Q350" s="18"/>
      <c r="R350" s="18"/>
      <c r="S350" s="18"/>
      <c r="T350" s="18"/>
      <c r="U350" s="18"/>
      <c r="V350" s="35"/>
      <c r="W350" s="19"/>
    </row>
    <row r="351" spans="1:23">
      <c r="A351" s="18"/>
      <c r="B351" s="19"/>
      <c r="C351" s="18"/>
      <c r="D351" s="19"/>
      <c r="E351" s="18"/>
      <c r="F351" s="19"/>
      <c r="G351" s="19"/>
      <c r="H351" s="19"/>
      <c r="I351" s="18"/>
      <c r="J351" s="18"/>
      <c r="K351" s="18"/>
      <c r="L351" s="18"/>
      <c r="M351" s="32" t="str">
        <f>IF(OR(K351="",L351=""),"",MATCH(K351,Lists!$C$2:$C$5,0)*MATCH(L351,Lists!$D$2:$D$6,0))</f>
        <v/>
      </c>
      <c r="N351" s="32" t="str">
        <f t="shared" si="10"/>
        <v/>
      </c>
      <c r="O351" s="32" t="str">
        <f t="shared" si="11"/>
        <v/>
      </c>
      <c r="P351" s="18"/>
      <c r="Q351" s="18"/>
      <c r="R351" s="18"/>
      <c r="S351" s="18"/>
      <c r="T351" s="18"/>
      <c r="U351" s="18"/>
      <c r="V351" s="35"/>
      <c r="W351" s="19"/>
    </row>
    <row r="352" spans="1:23">
      <c r="A352" s="18"/>
      <c r="B352" s="19"/>
      <c r="C352" s="18"/>
      <c r="D352" s="19"/>
      <c r="E352" s="18"/>
      <c r="F352" s="19"/>
      <c r="G352" s="19"/>
      <c r="H352" s="19"/>
      <c r="I352" s="18"/>
      <c r="J352" s="18"/>
      <c r="K352" s="18"/>
      <c r="L352" s="18"/>
      <c r="M352" s="32" t="str">
        <f>IF(OR(K352="",L352=""),"",MATCH(K352,Lists!$C$2:$C$5,0)*MATCH(L352,Lists!$D$2:$D$6,0))</f>
        <v/>
      </c>
      <c r="N352" s="32" t="str">
        <f t="shared" si="10"/>
        <v/>
      </c>
      <c r="O352" s="32" t="str">
        <f t="shared" si="11"/>
        <v/>
      </c>
      <c r="P352" s="18"/>
      <c r="Q352" s="18"/>
      <c r="R352" s="18"/>
      <c r="S352" s="18"/>
      <c r="T352" s="18"/>
      <c r="U352" s="18"/>
      <c r="V352" s="35"/>
      <c r="W352" s="19"/>
    </row>
    <row r="353" spans="1:23">
      <c r="A353" s="18"/>
      <c r="B353" s="19"/>
      <c r="C353" s="18"/>
      <c r="D353" s="19"/>
      <c r="E353" s="18"/>
      <c r="F353" s="19"/>
      <c r="G353" s="19"/>
      <c r="H353" s="19"/>
      <c r="I353" s="18"/>
      <c r="J353" s="18"/>
      <c r="K353" s="18"/>
      <c r="L353" s="18"/>
      <c r="M353" s="32" t="str">
        <f>IF(OR(K353="",L353=""),"",MATCH(K353,Lists!$C$2:$C$5,0)*MATCH(L353,Lists!$D$2:$D$6,0))</f>
        <v/>
      </c>
      <c r="N353" s="32" t="str">
        <f t="shared" si="10"/>
        <v/>
      </c>
      <c r="O353" s="32" t="str">
        <f t="shared" si="11"/>
        <v/>
      </c>
      <c r="P353" s="18"/>
      <c r="Q353" s="18"/>
      <c r="R353" s="18"/>
      <c r="S353" s="18"/>
      <c r="T353" s="18"/>
      <c r="U353" s="18"/>
      <c r="V353" s="35"/>
      <c r="W353" s="19"/>
    </row>
    <row r="354" spans="1:23">
      <c r="A354" s="18"/>
      <c r="B354" s="19"/>
      <c r="C354" s="18"/>
      <c r="D354" s="19"/>
      <c r="E354" s="18"/>
      <c r="F354" s="19"/>
      <c r="G354" s="19"/>
      <c r="H354" s="19"/>
      <c r="I354" s="18"/>
      <c r="J354" s="18"/>
      <c r="K354" s="18"/>
      <c r="L354" s="18"/>
      <c r="M354" s="32" t="str">
        <f>IF(OR(K354="",L354=""),"",MATCH(K354,Lists!$C$2:$C$5,0)*MATCH(L354,Lists!$D$2:$D$6,0))</f>
        <v/>
      </c>
      <c r="N354" s="32" t="str">
        <f t="shared" si="10"/>
        <v/>
      </c>
      <c r="O354" s="32" t="str">
        <f t="shared" si="11"/>
        <v/>
      </c>
      <c r="P354" s="18"/>
      <c r="Q354" s="18"/>
      <c r="R354" s="18"/>
      <c r="S354" s="18"/>
      <c r="T354" s="18"/>
      <c r="U354" s="18"/>
      <c r="V354" s="35"/>
      <c r="W354" s="19"/>
    </row>
    <row r="355" spans="1:23">
      <c r="A355" s="18"/>
      <c r="B355" s="19"/>
      <c r="C355" s="18"/>
      <c r="D355" s="19"/>
      <c r="E355" s="18"/>
      <c r="F355" s="19"/>
      <c r="G355" s="19"/>
      <c r="H355" s="19"/>
      <c r="I355" s="18"/>
      <c r="J355" s="18"/>
      <c r="K355" s="18"/>
      <c r="L355" s="18"/>
      <c r="M355" s="32" t="str">
        <f>IF(OR(K355="",L355=""),"",MATCH(K355,Lists!$C$2:$C$5,0)*MATCH(L355,Lists!$D$2:$D$6,0))</f>
        <v/>
      </c>
      <c r="N355" s="32" t="str">
        <f t="shared" si="10"/>
        <v/>
      </c>
      <c r="O355" s="32" t="str">
        <f t="shared" si="11"/>
        <v/>
      </c>
      <c r="P355" s="18"/>
      <c r="Q355" s="18"/>
      <c r="R355" s="18"/>
      <c r="S355" s="18"/>
      <c r="T355" s="18"/>
      <c r="U355" s="18"/>
      <c r="V355" s="35"/>
      <c r="W355" s="19"/>
    </row>
    <row r="356" spans="1:23">
      <c r="A356" s="18"/>
      <c r="B356" s="19"/>
      <c r="C356" s="18"/>
      <c r="D356" s="19"/>
      <c r="E356" s="18"/>
      <c r="F356" s="19"/>
      <c r="G356" s="19"/>
      <c r="H356" s="19"/>
      <c r="I356" s="18"/>
      <c r="J356" s="18"/>
      <c r="K356" s="18"/>
      <c r="L356" s="18"/>
      <c r="M356" s="32" t="str">
        <f>IF(OR(K356="",L356=""),"",MATCH(K356,Lists!$C$2:$C$5,0)*MATCH(L356,Lists!$D$2:$D$6,0))</f>
        <v/>
      </c>
      <c r="N356" s="32" t="str">
        <f t="shared" si="10"/>
        <v/>
      </c>
      <c r="O356" s="32" t="str">
        <f t="shared" si="11"/>
        <v/>
      </c>
      <c r="P356" s="18"/>
      <c r="Q356" s="18"/>
      <c r="R356" s="18"/>
      <c r="S356" s="18"/>
      <c r="T356" s="18"/>
      <c r="U356" s="18"/>
      <c r="V356" s="35"/>
      <c r="W356" s="19"/>
    </row>
    <row r="357" spans="1:23">
      <c r="A357" s="18"/>
      <c r="B357" s="19"/>
      <c r="C357" s="18"/>
      <c r="D357" s="19"/>
      <c r="E357" s="18"/>
      <c r="F357" s="19"/>
      <c r="G357" s="19"/>
      <c r="H357" s="19"/>
      <c r="I357" s="18"/>
      <c r="J357" s="18"/>
      <c r="K357" s="18"/>
      <c r="L357" s="18"/>
      <c r="M357" s="32" t="str">
        <f>IF(OR(K357="",L357=""),"",MATCH(K357,Lists!$C$2:$C$5,0)*MATCH(L357,Lists!$D$2:$D$6,0))</f>
        <v/>
      </c>
      <c r="N357" s="32" t="str">
        <f t="shared" si="10"/>
        <v/>
      </c>
      <c r="O357" s="32" t="str">
        <f t="shared" si="11"/>
        <v/>
      </c>
      <c r="P357" s="18"/>
      <c r="Q357" s="18"/>
      <c r="R357" s="18"/>
      <c r="S357" s="18"/>
      <c r="T357" s="18"/>
      <c r="U357" s="18"/>
      <c r="V357" s="35"/>
      <c r="W357" s="19"/>
    </row>
    <row r="358" spans="1:23">
      <c r="A358" s="18"/>
      <c r="B358" s="19"/>
      <c r="C358" s="18"/>
      <c r="D358" s="19"/>
      <c r="E358" s="18"/>
      <c r="F358" s="19"/>
      <c r="G358" s="19"/>
      <c r="H358" s="19"/>
      <c r="I358" s="18"/>
      <c r="J358" s="18"/>
      <c r="K358" s="18"/>
      <c r="L358" s="18"/>
      <c r="M358" s="32" t="str">
        <f>IF(OR(K358="",L358=""),"",MATCH(K358,Lists!$C$2:$C$5,0)*MATCH(L358,Lists!$D$2:$D$6,0))</f>
        <v/>
      </c>
      <c r="N358" s="32" t="str">
        <f t="shared" si="10"/>
        <v/>
      </c>
      <c r="O358" s="32" t="str">
        <f t="shared" si="11"/>
        <v/>
      </c>
      <c r="P358" s="18"/>
      <c r="Q358" s="18"/>
      <c r="R358" s="18"/>
      <c r="S358" s="18"/>
      <c r="T358" s="18"/>
      <c r="U358" s="18"/>
      <c r="V358" s="35"/>
      <c r="W358" s="19"/>
    </row>
    <row r="359" spans="1:23">
      <c r="A359" s="18"/>
      <c r="B359" s="19"/>
      <c r="C359" s="18"/>
      <c r="D359" s="19"/>
      <c r="E359" s="18"/>
      <c r="F359" s="19"/>
      <c r="G359" s="19"/>
      <c r="H359" s="19"/>
      <c r="I359" s="18"/>
      <c r="J359" s="18"/>
      <c r="K359" s="18"/>
      <c r="L359" s="18"/>
      <c r="M359" s="32" t="str">
        <f>IF(OR(K359="",L359=""),"",MATCH(K359,Lists!$C$2:$C$5,0)*MATCH(L359,Lists!$D$2:$D$6,0))</f>
        <v/>
      </c>
      <c r="N359" s="32" t="str">
        <f t="shared" si="10"/>
        <v/>
      </c>
      <c r="O359" s="32" t="str">
        <f t="shared" si="11"/>
        <v/>
      </c>
      <c r="P359" s="18"/>
      <c r="Q359" s="18"/>
      <c r="R359" s="18"/>
      <c r="S359" s="18"/>
      <c r="T359" s="18"/>
      <c r="U359" s="18"/>
      <c r="V359" s="35"/>
      <c r="W359" s="19"/>
    </row>
    <row r="360" spans="1:23">
      <c r="A360" s="18"/>
      <c r="B360" s="19"/>
      <c r="C360" s="18"/>
      <c r="D360" s="19"/>
      <c r="E360" s="18"/>
      <c r="F360" s="19"/>
      <c r="G360" s="19"/>
      <c r="H360" s="19"/>
      <c r="I360" s="18"/>
      <c r="J360" s="18"/>
      <c r="K360" s="18"/>
      <c r="L360" s="18"/>
      <c r="M360" s="32" t="str">
        <f>IF(OR(K360="",L360=""),"",MATCH(K360,Lists!$C$2:$C$5,0)*MATCH(L360,Lists!$D$2:$D$6,0))</f>
        <v/>
      </c>
      <c r="N360" s="32" t="str">
        <f t="shared" si="10"/>
        <v/>
      </c>
      <c r="O360" s="32" t="str">
        <f t="shared" si="11"/>
        <v/>
      </c>
      <c r="P360" s="18"/>
      <c r="Q360" s="18"/>
      <c r="R360" s="18"/>
      <c r="S360" s="18"/>
      <c r="T360" s="18"/>
      <c r="U360" s="18"/>
      <c r="V360" s="35"/>
      <c r="W360" s="19"/>
    </row>
    <row r="361" spans="1:23">
      <c r="A361" s="18"/>
      <c r="B361" s="19"/>
      <c r="C361" s="18"/>
      <c r="D361" s="19"/>
      <c r="E361" s="18"/>
      <c r="F361" s="19"/>
      <c r="G361" s="19"/>
      <c r="H361" s="19"/>
      <c r="I361" s="18"/>
      <c r="J361" s="18"/>
      <c r="K361" s="18"/>
      <c r="L361" s="18"/>
      <c r="M361" s="32" t="str">
        <f>IF(OR(K361="",L361=""),"",MATCH(K361,Lists!$C$2:$C$5,0)*MATCH(L361,Lists!$D$2:$D$6,0))</f>
        <v/>
      </c>
      <c r="N361" s="32" t="str">
        <f t="shared" si="10"/>
        <v/>
      </c>
      <c r="O361" s="32" t="str">
        <f t="shared" si="11"/>
        <v/>
      </c>
      <c r="P361" s="18"/>
      <c r="Q361" s="18"/>
      <c r="R361" s="18"/>
      <c r="S361" s="18"/>
      <c r="T361" s="18"/>
      <c r="U361" s="18"/>
      <c r="V361" s="35"/>
      <c r="W361" s="19"/>
    </row>
    <row r="362" spans="1:23">
      <c r="A362" s="18"/>
      <c r="B362" s="19"/>
      <c r="C362" s="18"/>
      <c r="D362" s="19"/>
      <c r="E362" s="18"/>
      <c r="F362" s="19"/>
      <c r="G362" s="19"/>
      <c r="H362" s="19"/>
      <c r="I362" s="18"/>
      <c r="J362" s="18"/>
      <c r="K362" s="18"/>
      <c r="L362" s="18"/>
      <c r="M362" s="32" t="str">
        <f>IF(OR(K362="",L362=""),"",MATCH(K362,Lists!$C$2:$C$5,0)*MATCH(L362,Lists!$D$2:$D$6,0))</f>
        <v/>
      </c>
      <c r="N362" s="32" t="str">
        <f t="shared" si="10"/>
        <v/>
      </c>
      <c r="O362" s="32" t="str">
        <f t="shared" si="11"/>
        <v/>
      </c>
      <c r="P362" s="18"/>
      <c r="Q362" s="18"/>
      <c r="R362" s="18"/>
      <c r="S362" s="18"/>
      <c r="T362" s="18"/>
      <c r="U362" s="18"/>
      <c r="V362" s="35"/>
      <c r="W362" s="19"/>
    </row>
    <row r="363" spans="1:23">
      <c r="A363" s="18"/>
      <c r="B363" s="19"/>
      <c r="C363" s="18"/>
      <c r="D363" s="19"/>
      <c r="E363" s="18"/>
      <c r="F363" s="19"/>
      <c r="G363" s="19"/>
      <c r="H363" s="19"/>
      <c r="I363" s="18"/>
      <c r="J363" s="18"/>
      <c r="K363" s="18"/>
      <c r="L363" s="18"/>
      <c r="M363" s="32" t="str">
        <f>IF(OR(K363="",L363=""),"",MATCH(K363,Lists!$C$2:$C$5,0)*MATCH(L363,Lists!$D$2:$D$6,0))</f>
        <v/>
      </c>
      <c r="N363" s="32" t="str">
        <f t="shared" si="10"/>
        <v/>
      </c>
      <c r="O363" s="32" t="str">
        <f t="shared" si="11"/>
        <v/>
      </c>
      <c r="P363" s="18"/>
      <c r="Q363" s="18"/>
      <c r="R363" s="18"/>
      <c r="S363" s="18"/>
      <c r="T363" s="18"/>
      <c r="U363" s="18"/>
      <c r="V363" s="35"/>
      <c r="W363" s="19"/>
    </row>
    <row r="364" spans="1:23">
      <c r="A364" s="18"/>
      <c r="B364" s="19"/>
      <c r="C364" s="18"/>
      <c r="D364" s="19"/>
      <c r="E364" s="18"/>
      <c r="F364" s="19"/>
      <c r="G364" s="19"/>
      <c r="H364" s="19"/>
      <c r="I364" s="18"/>
      <c r="J364" s="18"/>
      <c r="K364" s="18"/>
      <c r="L364" s="18"/>
      <c r="M364" s="32" t="str">
        <f>IF(OR(K364="",L364=""),"",MATCH(K364,Lists!$C$2:$C$5,0)*MATCH(L364,Lists!$D$2:$D$6,0))</f>
        <v/>
      </c>
      <c r="N364" s="32" t="str">
        <f t="shared" si="10"/>
        <v/>
      </c>
      <c r="O364" s="32" t="str">
        <f t="shared" si="11"/>
        <v/>
      </c>
      <c r="P364" s="18"/>
      <c r="Q364" s="18"/>
      <c r="R364" s="18"/>
      <c r="S364" s="18"/>
      <c r="T364" s="18"/>
      <c r="U364" s="18"/>
      <c r="V364" s="35"/>
      <c r="W364" s="19"/>
    </row>
    <row r="365" spans="1:23">
      <c r="A365" s="18"/>
      <c r="B365" s="19"/>
      <c r="C365" s="18"/>
      <c r="D365" s="19"/>
      <c r="E365" s="18"/>
      <c r="F365" s="19"/>
      <c r="G365" s="19"/>
      <c r="H365" s="19"/>
      <c r="I365" s="18"/>
      <c r="J365" s="18"/>
      <c r="K365" s="18"/>
      <c r="L365" s="18"/>
      <c r="M365" s="32" t="str">
        <f>IF(OR(K365="",L365=""),"",MATCH(K365,Lists!$C$2:$C$5,0)*MATCH(L365,Lists!$D$2:$D$6,0))</f>
        <v/>
      </c>
      <c r="N365" s="32" t="str">
        <f t="shared" si="10"/>
        <v/>
      </c>
      <c r="O365" s="32" t="str">
        <f t="shared" si="11"/>
        <v/>
      </c>
      <c r="P365" s="18"/>
      <c r="Q365" s="18"/>
      <c r="R365" s="18"/>
      <c r="S365" s="18"/>
      <c r="T365" s="18"/>
      <c r="U365" s="18"/>
      <c r="V365" s="35"/>
      <c r="W365" s="19"/>
    </row>
    <row r="366" spans="1:23">
      <c r="A366" s="18"/>
      <c r="B366" s="19"/>
      <c r="C366" s="18"/>
      <c r="D366" s="19"/>
      <c r="E366" s="18"/>
      <c r="F366" s="19"/>
      <c r="G366" s="19"/>
      <c r="H366" s="19"/>
      <c r="I366" s="18"/>
      <c r="J366" s="18"/>
      <c r="K366" s="18"/>
      <c r="L366" s="18"/>
      <c r="M366" s="32" t="str">
        <f>IF(OR(K366="",L366=""),"",MATCH(K366,Lists!$C$2:$C$5,0)*MATCH(L366,Lists!$D$2:$D$6,0))</f>
        <v/>
      </c>
      <c r="N366" s="32" t="str">
        <f t="shared" si="10"/>
        <v/>
      </c>
      <c r="O366" s="32" t="str">
        <f t="shared" si="11"/>
        <v/>
      </c>
      <c r="P366" s="18"/>
      <c r="Q366" s="18"/>
      <c r="R366" s="18"/>
      <c r="S366" s="18"/>
      <c r="T366" s="18"/>
      <c r="U366" s="18"/>
      <c r="V366" s="35"/>
      <c r="W366" s="19"/>
    </row>
    <row r="367" spans="1:23">
      <c r="A367" s="18"/>
      <c r="B367" s="19"/>
      <c r="C367" s="18"/>
      <c r="D367" s="19"/>
      <c r="E367" s="18"/>
      <c r="F367" s="19"/>
      <c r="G367" s="19"/>
      <c r="H367" s="19"/>
      <c r="I367" s="18"/>
      <c r="J367" s="18"/>
      <c r="K367" s="18"/>
      <c r="L367" s="18"/>
      <c r="M367" s="32" t="str">
        <f>IF(OR(K367="",L367=""),"",MATCH(K367,Lists!$C$2:$C$5,0)*MATCH(L367,Lists!$D$2:$D$6,0))</f>
        <v/>
      </c>
      <c r="N367" s="32" t="str">
        <f t="shared" si="10"/>
        <v/>
      </c>
      <c r="O367" s="32" t="str">
        <f t="shared" si="11"/>
        <v/>
      </c>
      <c r="P367" s="18"/>
      <c r="Q367" s="18"/>
      <c r="R367" s="18"/>
      <c r="S367" s="18"/>
      <c r="T367" s="18"/>
      <c r="U367" s="18"/>
      <c r="V367" s="35"/>
      <c r="W367" s="19"/>
    </row>
    <row r="368" spans="1:23">
      <c r="A368" s="18"/>
      <c r="B368" s="19"/>
      <c r="C368" s="18"/>
      <c r="D368" s="19"/>
      <c r="E368" s="18"/>
      <c r="F368" s="19"/>
      <c r="G368" s="19"/>
      <c r="H368" s="19"/>
      <c r="I368" s="18"/>
      <c r="J368" s="18"/>
      <c r="K368" s="18"/>
      <c r="L368" s="18"/>
      <c r="M368" s="32" t="str">
        <f>IF(OR(K368="",L368=""),"",MATCH(K368,Lists!$C$2:$C$5,0)*MATCH(L368,Lists!$D$2:$D$6,0))</f>
        <v/>
      </c>
      <c r="N368" s="32" t="str">
        <f t="shared" si="10"/>
        <v/>
      </c>
      <c r="O368" s="32" t="str">
        <f t="shared" si="11"/>
        <v/>
      </c>
      <c r="P368" s="18"/>
      <c r="Q368" s="18"/>
      <c r="R368" s="18"/>
      <c r="S368" s="18"/>
      <c r="T368" s="18"/>
      <c r="U368" s="18"/>
      <c r="V368" s="35"/>
      <c r="W368" s="19"/>
    </row>
    <row r="369" spans="1:23">
      <c r="A369" s="18"/>
      <c r="B369" s="19"/>
      <c r="C369" s="18"/>
      <c r="D369" s="19"/>
      <c r="E369" s="18"/>
      <c r="F369" s="19"/>
      <c r="G369" s="19"/>
      <c r="H369" s="19"/>
      <c r="I369" s="18"/>
      <c r="J369" s="18"/>
      <c r="K369" s="18"/>
      <c r="L369" s="18"/>
      <c r="M369" s="32" t="str">
        <f>IF(OR(K369="",L369=""),"",MATCH(K369,Lists!$C$2:$C$5,0)*MATCH(L369,Lists!$D$2:$D$6,0))</f>
        <v/>
      </c>
      <c r="N369" s="32" t="str">
        <f t="shared" si="10"/>
        <v/>
      </c>
      <c r="O369" s="32" t="str">
        <f t="shared" si="11"/>
        <v/>
      </c>
      <c r="P369" s="18"/>
      <c r="Q369" s="18"/>
      <c r="R369" s="18"/>
      <c r="S369" s="18"/>
      <c r="T369" s="18"/>
      <c r="U369" s="18"/>
      <c r="V369" s="35"/>
      <c r="W369" s="19"/>
    </row>
    <row r="370" spans="1:23">
      <c r="A370" s="18"/>
      <c r="B370" s="19"/>
      <c r="C370" s="18"/>
      <c r="D370" s="19"/>
      <c r="E370" s="18"/>
      <c r="F370" s="19"/>
      <c r="G370" s="19"/>
      <c r="H370" s="19"/>
      <c r="I370" s="18"/>
      <c r="J370" s="18"/>
      <c r="K370" s="18"/>
      <c r="L370" s="18"/>
      <c r="M370" s="32" t="str">
        <f>IF(OR(K370="",L370=""),"",MATCH(K370,Lists!$C$2:$C$5,0)*MATCH(L370,Lists!$D$2:$D$6,0))</f>
        <v/>
      </c>
      <c r="N370" s="32" t="str">
        <f t="shared" si="10"/>
        <v/>
      </c>
      <c r="O370" s="32" t="str">
        <f t="shared" si="11"/>
        <v/>
      </c>
      <c r="P370" s="18"/>
      <c r="Q370" s="18"/>
      <c r="R370" s="18"/>
      <c r="S370" s="18"/>
      <c r="T370" s="18"/>
      <c r="U370" s="18"/>
      <c r="V370" s="35"/>
      <c r="W370" s="19"/>
    </row>
    <row r="371" spans="1:23">
      <c r="A371" s="18"/>
      <c r="B371" s="19"/>
      <c r="C371" s="18"/>
      <c r="D371" s="19"/>
      <c r="E371" s="18"/>
      <c r="F371" s="19"/>
      <c r="G371" s="19"/>
      <c r="H371" s="19"/>
      <c r="I371" s="18"/>
      <c r="J371" s="18"/>
      <c r="K371" s="18"/>
      <c r="L371" s="18"/>
      <c r="M371" s="32" t="str">
        <f>IF(OR(K371="",L371=""),"",MATCH(K371,Lists!$C$2:$C$5,0)*MATCH(L371,Lists!$D$2:$D$6,0))</f>
        <v/>
      </c>
      <c r="N371" s="32" t="str">
        <f t="shared" si="10"/>
        <v/>
      </c>
      <c r="O371" s="32" t="str">
        <f t="shared" si="11"/>
        <v/>
      </c>
      <c r="P371" s="18"/>
      <c r="Q371" s="18"/>
      <c r="R371" s="18"/>
      <c r="S371" s="18"/>
      <c r="T371" s="18"/>
      <c r="U371" s="18"/>
      <c r="V371" s="35"/>
      <c r="W371" s="19"/>
    </row>
    <row r="372" spans="1:23">
      <c r="A372" s="18"/>
      <c r="B372" s="19"/>
      <c r="C372" s="18"/>
      <c r="D372" s="19"/>
      <c r="E372" s="18"/>
      <c r="F372" s="19"/>
      <c r="G372" s="19"/>
      <c r="H372" s="19"/>
      <c r="I372" s="18"/>
      <c r="J372" s="18"/>
      <c r="K372" s="18"/>
      <c r="L372" s="18"/>
      <c r="M372" s="32" t="str">
        <f>IF(OR(K372="",L372=""),"",MATCH(K372,Lists!$C$2:$C$5,0)*MATCH(L372,Lists!$D$2:$D$6,0))</f>
        <v/>
      </c>
      <c r="N372" s="32" t="str">
        <f t="shared" si="10"/>
        <v/>
      </c>
      <c r="O372" s="32" t="str">
        <f t="shared" si="11"/>
        <v/>
      </c>
      <c r="P372" s="18"/>
      <c r="Q372" s="18"/>
      <c r="R372" s="18"/>
      <c r="S372" s="18"/>
      <c r="T372" s="18"/>
      <c r="U372" s="18"/>
      <c r="V372" s="35"/>
      <c r="W372" s="19"/>
    </row>
    <row r="373" spans="1:23">
      <c r="A373" s="18"/>
      <c r="B373" s="19"/>
      <c r="C373" s="18"/>
      <c r="D373" s="19"/>
      <c r="E373" s="18"/>
      <c r="F373" s="19"/>
      <c r="G373" s="19"/>
      <c r="H373" s="19"/>
      <c r="I373" s="18"/>
      <c r="J373" s="18"/>
      <c r="K373" s="18"/>
      <c r="L373" s="18"/>
      <c r="M373" s="32" t="str">
        <f>IF(OR(K373="",L373=""),"",MATCH(K373,Lists!$C$2:$C$5,0)*MATCH(L373,Lists!$D$2:$D$6,0))</f>
        <v/>
      </c>
      <c r="N373" s="32" t="str">
        <f t="shared" si="10"/>
        <v/>
      </c>
      <c r="O373" s="32" t="str">
        <f t="shared" si="11"/>
        <v/>
      </c>
      <c r="P373" s="18"/>
      <c r="Q373" s="18"/>
      <c r="R373" s="18"/>
      <c r="S373" s="18"/>
      <c r="T373" s="18"/>
      <c r="U373" s="18"/>
      <c r="V373" s="35"/>
      <c r="W373" s="19"/>
    </row>
    <row r="374" spans="1:23">
      <c r="A374" s="18"/>
      <c r="B374" s="19"/>
      <c r="C374" s="18"/>
      <c r="D374" s="19"/>
      <c r="E374" s="18"/>
      <c r="F374" s="19"/>
      <c r="G374" s="19"/>
      <c r="H374" s="19"/>
      <c r="I374" s="18"/>
      <c r="J374" s="18"/>
      <c r="K374" s="18"/>
      <c r="L374" s="18"/>
      <c r="M374" s="32" t="str">
        <f>IF(OR(K374="",L374=""),"",MATCH(K374,Lists!$C$2:$C$5,0)*MATCH(L374,Lists!$D$2:$D$6,0))</f>
        <v/>
      </c>
      <c r="N374" s="32" t="str">
        <f t="shared" si="10"/>
        <v/>
      </c>
      <c r="O374" s="32" t="str">
        <f t="shared" si="11"/>
        <v/>
      </c>
      <c r="P374" s="18"/>
      <c r="Q374" s="18"/>
      <c r="R374" s="18"/>
      <c r="S374" s="18"/>
      <c r="T374" s="18"/>
      <c r="U374" s="18"/>
      <c r="V374" s="35"/>
      <c r="W374" s="19"/>
    </row>
    <row r="375" spans="1:23">
      <c r="A375" s="18"/>
      <c r="B375" s="19"/>
      <c r="C375" s="18"/>
      <c r="D375" s="19"/>
      <c r="E375" s="18"/>
      <c r="F375" s="19"/>
      <c r="G375" s="19"/>
      <c r="H375" s="19"/>
      <c r="I375" s="18"/>
      <c r="J375" s="18"/>
      <c r="K375" s="18"/>
      <c r="L375" s="18"/>
      <c r="M375" s="32" t="str">
        <f>IF(OR(K375="",L375=""),"",MATCH(K375,Lists!$C$2:$C$5,0)*MATCH(L375,Lists!$D$2:$D$6,0))</f>
        <v/>
      </c>
      <c r="N375" s="32" t="str">
        <f t="shared" si="10"/>
        <v/>
      </c>
      <c r="O375" s="32" t="str">
        <f t="shared" si="11"/>
        <v/>
      </c>
      <c r="P375" s="18"/>
      <c r="Q375" s="18"/>
      <c r="R375" s="18"/>
      <c r="S375" s="18"/>
      <c r="T375" s="18"/>
      <c r="U375" s="18"/>
      <c r="V375" s="35"/>
      <c r="W375" s="19"/>
    </row>
    <row r="376" spans="1:23">
      <c r="A376" s="18"/>
      <c r="B376" s="19"/>
      <c r="C376" s="18"/>
      <c r="D376" s="19"/>
      <c r="E376" s="18"/>
      <c r="F376" s="19"/>
      <c r="G376" s="19"/>
      <c r="H376" s="19"/>
      <c r="I376" s="18"/>
      <c r="J376" s="18"/>
      <c r="K376" s="18"/>
      <c r="L376" s="18"/>
      <c r="M376" s="32" t="str">
        <f>IF(OR(K376="",L376=""),"",MATCH(K376,Lists!$C$2:$C$5,0)*MATCH(L376,Lists!$D$2:$D$6,0))</f>
        <v/>
      </c>
      <c r="N376" s="32" t="str">
        <f t="shared" si="10"/>
        <v/>
      </c>
      <c r="O376" s="32" t="str">
        <f t="shared" si="11"/>
        <v/>
      </c>
      <c r="P376" s="18"/>
      <c r="Q376" s="18"/>
      <c r="R376" s="18"/>
      <c r="S376" s="18"/>
      <c r="T376" s="18"/>
      <c r="U376" s="18"/>
      <c r="V376" s="35"/>
      <c r="W376" s="19"/>
    </row>
    <row r="377" spans="1:23">
      <c r="A377" s="18"/>
      <c r="B377" s="19"/>
      <c r="C377" s="18"/>
      <c r="D377" s="19"/>
      <c r="E377" s="18"/>
      <c r="F377" s="19"/>
      <c r="G377" s="19"/>
      <c r="H377" s="19"/>
      <c r="I377" s="18"/>
      <c r="J377" s="18"/>
      <c r="K377" s="18"/>
      <c r="L377" s="18"/>
      <c r="M377" s="32" t="str">
        <f>IF(OR(K377="",L377=""),"",MATCH(K377,Lists!$C$2:$C$5,0)*MATCH(L377,Lists!$D$2:$D$6,0))</f>
        <v/>
      </c>
      <c r="N377" s="32" t="str">
        <f t="shared" si="10"/>
        <v/>
      </c>
      <c r="O377" s="32" t="str">
        <f t="shared" si="11"/>
        <v/>
      </c>
      <c r="P377" s="18"/>
      <c r="Q377" s="18"/>
      <c r="R377" s="18"/>
      <c r="S377" s="18"/>
      <c r="T377" s="18"/>
      <c r="U377" s="18"/>
      <c r="V377" s="35"/>
      <c r="W377" s="19"/>
    </row>
    <row r="378" spans="1:23">
      <c r="A378" s="18"/>
      <c r="B378" s="19"/>
      <c r="C378" s="18"/>
      <c r="D378" s="19"/>
      <c r="E378" s="18"/>
      <c r="F378" s="19"/>
      <c r="G378" s="19"/>
      <c r="H378" s="19"/>
      <c r="I378" s="18"/>
      <c r="J378" s="18"/>
      <c r="K378" s="18"/>
      <c r="L378" s="18"/>
      <c r="M378" s="32" t="str">
        <f>IF(OR(K378="",L378=""),"",MATCH(K378,Lists!$C$2:$C$5,0)*MATCH(L378,Lists!$D$2:$D$6,0))</f>
        <v/>
      </c>
      <c r="N378" s="32" t="str">
        <f t="shared" si="10"/>
        <v/>
      </c>
      <c r="O378" s="32" t="str">
        <f t="shared" si="11"/>
        <v/>
      </c>
      <c r="P378" s="18"/>
      <c r="Q378" s="18"/>
      <c r="R378" s="18"/>
      <c r="S378" s="18"/>
      <c r="T378" s="18"/>
      <c r="U378" s="18"/>
      <c r="V378" s="35"/>
      <c r="W378" s="19"/>
    </row>
    <row r="379" spans="1:23">
      <c r="A379" s="18"/>
      <c r="B379" s="19"/>
      <c r="C379" s="18"/>
      <c r="D379" s="19"/>
      <c r="E379" s="18"/>
      <c r="F379" s="19"/>
      <c r="G379" s="19"/>
      <c r="H379" s="19"/>
      <c r="I379" s="18"/>
      <c r="J379" s="18"/>
      <c r="K379" s="18"/>
      <c r="L379" s="18"/>
      <c r="M379" s="32" t="str">
        <f>IF(OR(K379="",L379=""),"",MATCH(K379,Lists!$C$2:$C$5,0)*MATCH(L379,Lists!$D$2:$D$6,0))</f>
        <v/>
      </c>
      <c r="N379" s="32" t="str">
        <f t="shared" si="10"/>
        <v/>
      </c>
      <c r="O379" s="32" t="str">
        <f t="shared" si="11"/>
        <v/>
      </c>
      <c r="P379" s="18"/>
      <c r="Q379" s="18"/>
      <c r="R379" s="18"/>
      <c r="S379" s="18"/>
      <c r="T379" s="18"/>
      <c r="U379" s="18"/>
      <c r="V379" s="35"/>
      <c r="W379" s="19"/>
    </row>
    <row r="380" spans="1:23">
      <c r="A380" s="18"/>
      <c r="B380" s="19"/>
      <c r="C380" s="18"/>
      <c r="D380" s="19"/>
      <c r="E380" s="18"/>
      <c r="F380" s="19"/>
      <c r="G380" s="19"/>
      <c r="H380" s="19"/>
      <c r="I380" s="18"/>
      <c r="J380" s="18"/>
      <c r="K380" s="18"/>
      <c r="L380" s="18"/>
      <c r="M380" s="32" t="str">
        <f>IF(OR(K380="",L380=""),"",MATCH(K380,Lists!$C$2:$C$5,0)*MATCH(L380,Lists!$D$2:$D$6,0))</f>
        <v/>
      </c>
      <c r="N380" s="32" t="str">
        <f t="shared" si="10"/>
        <v/>
      </c>
      <c r="O380" s="32" t="str">
        <f t="shared" si="11"/>
        <v/>
      </c>
      <c r="P380" s="18"/>
      <c r="Q380" s="18"/>
      <c r="R380" s="18"/>
      <c r="S380" s="18"/>
      <c r="T380" s="18"/>
      <c r="U380" s="18"/>
      <c r="V380" s="35"/>
      <c r="W380" s="19"/>
    </row>
    <row r="381" spans="1:23">
      <c r="A381" s="18"/>
      <c r="B381" s="19"/>
      <c r="C381" s="18"/>
      <c r="D381" s="19"/>
      <c r="E381" s="18"/>
      <c r="F381" s="19"/>
      <c r="G381" s="19"/>
      <c r="H381" s="19"/>
      <c r="I381" s="18"/>
      <c r="J381" s="18"/>
      <c r="K381" s="18"/>
      <c r="L381" s="18"/>
      <c r="M381" s="32" t="str">
        <f>IF(OR(K381="",L381=""),"",MATCH(K381,Lists!$C$2:$C$5,0)*MATCH(L381,Lists!$D$2:$D$6,0))</f>
        <v/>
      </c>
      <c r="N381" s="32" t="str">
        <f t="shared" si="10"/>
        <v/>
      </c>
      <c r="O381" s="32" t="str">
        <f t="shared" si="11"/>
        <v/>
      </c>
      <c r="P381" s="18"/>
      <c r="Q381" s="18"/>
      <c r="R381" s="18"/>
      <c r="S381" s="18"/>
      <c r="T381" s="18"/>
      <c r="U381" s="18"/>
      <c r="V381" s="35"/>
      <c r="W381" s="19"/>
    </row>
    <row r="382" spans="1:23">
      <c r="A382" s="18"/>
      <c r="B382" s="19"/>
      <c r="C382" s="18"/>
      <c r="D382" s="19"/>
      <c r="E382" s="18"/>
      <c r="F382" s="19"/>
      <c r="G382" s="19"/>
      <c r="H382" s="19"/>
      <c r="I382" s="18"/>
      <c r="J382" s="18"/>
      <c r="K382" s="18"/>
      <c r="L382" s="18"/>
      <c r="M382" s="32" t="str">
        <f>IF(OR(K382="",L382=""),"",MATCH(K382,Lists!$C$2:$C$5,0)*MATCH(L382,Lists!$D$2:$D$6,0))</f>
        <v/>
      </c>
      <c r="N382" s="32" t="str">
        <f t="shared" si="10"/>
        <v/>
      </c>
      <c r="O382" s="32" t="str">
        <f t="shared" si="11"/>
        <v/>
      </c>
      <c r="P382" s="18"/>
      <c r="Q382" s="18"/>
      <c r="R382" s="18"/>
      <c r="S382" s="18"/>
      <c r="T382" s="18"/>
      <c r="U382" s="18"/>
      <c r="V382" s="35"/>
      <c r="W382" s="19"/>
    </row>
    <row r="383" spans="1:23">
      <c r="A383" s="18"/>
      <c r="B383" s="19"/>
      <c r="C383" s="18"/>
      <c r="D383" s="19"/>
      <c r="E383" s="18"/>
      <c r="F383" s="19"/>
      <c r="G383" s="19"/>
      <c r="H383" s="19"/>
      <c r="I383" s="18"/>
      <c r="J383" s="18"/>
      <c r="K383" s="18"/>
      <c r="L383" s="18"/>
      <c r="M383" s="32" t="str">
        <f>IF(OR(K383="",L383=""),"",MATCH(K383,Lists!$C$2:$C$5,0)*MATCH(L383,Lists!$D$2:$D$6,0))</f>
        <v/>
      </c>
      <c r="N383" s="32" t="str">
        <f t="shared" si="10"/>
        <v/>
      </c>
      <c r="O383" s="32" t="str">
        <f t="shared" si="11"/>
        <v/>
      </c>
      <c r="P383" s="18"/>
      <c r="Q383" s="18"/>
      <c r="R383" s="18"/>
      <c r="S383" s="18"/>
      <c r="T383" s="18"/>
      <c r="U383" s="18"/>
      <c r="V383" s="35"/>
      <c r="W383" s="19"/>
    </row>
    <row r="384" spans="1:23">
      <c r="A384" s="18"/>
      <c r="B384" s="19"/>
      <c r="C384" s="18"/>
      <c r="D384" s="19"/>
      <c r="E384" s="18"/>
      <c r="F384" s="19"/>
      <c r="G384" s="19"/>
      <c r="H384" s="19"/>
      <c r="I384" s="18"/>
      <c r="J384" s="18"/>
      <c r="K384" s="18"/>
      <c r="L384" s="18"/>
      <c r="M384" s="32" t="str">
        <f>IF(OR(K384="",L384=""),"",MATCH(K384,Lists!$C$2:$C$5,0)*MATCH(L384,Lists!$D$2:$D$6,0))</f>
        <v/>
      </c>
      <c r="N384" s="32" t="str">
        <f t="shared" si="10"/>
        <v/>
      </c>
      <c r="O384" s="32" t="str">
        <f t="shared" si="11"/>
        <v/>
      </c>
      <c r="P384" s="18"/>
      <c r="Q384" s="18"/>
      <c r="R384" s="18"/>
      <c r="S384" s="18"/>
      <c r="T384" s="18"/>
      <c r="U384" s="18"/>
      <c r="V384" s="35"/>
      <c r="W384" s="19"/>
    </row>
    <row r="385" spans="1:23">
      <c r="A385" s="18"/>
      <c r="B385" s="19"/>
      <c r="C385" s="18"/>
      <c r="D385" s="19"/>
      <c r="E385" s="18"/>
      <c r="F385" s="19"/>
      <c r="G385" s="19"/>
      <c r="H385" s="19"/>
      <c r="I385" s="18"/>
      <c r="J385" s="18"/>
      <c r="K385" s="18"/>
      <c r="L385" s="18"/>
      <c r="M385" s="32" t="str">
        <f>IF(OR(K385="",L385=""),"",MATCH(K385,Lists!$C$2:$C$5,0)*MATCH(L385,Lists!$D$2:$D$6,0))</f>
        <v/>
      </c>
      <c r="N385" s="32" t="str">
        <f t="shared" si="10"/>
        <v/>
      </c>
      <c r="O385" s="32" t="str">
        <f t="shared" si="11"/>
        <v/>
      </c>
      <c r="P385" s="18"/>
      <c r="Q385" s="18"/>
      <c r="R385" s="18"/>
      <c r="S385" s="18"/>
      <c r="T385" s="18"/>
      <c r="U385" s="18"/>
      <c r="V385" s="35"/>
      <c r="W385" s="19"/>
    </row>
    <row r="386" spans="1:23">
      <c r="A386" s="18"/>
      <c r="B386" s="19"/>
      <c r="C386" s="18"/>
      <c r="D386" s="19"/>
      <c r="E386" s="18"/>
      <c r="F386" s="19"/>
      <c r="G386" s="19"/>
      <c r="H386" s="19"/>
      <c r="I386" s="18"/>
      <c r="J386" s="18"/>
      <c r="K386" s="18"/>
      <c r="L386" s="18"/>
      <c r="M386" s="32" t="str">
        <f>IF(OR(K386="",L386=""),"",MATCH(K386,Lists!$C$2:$C$5,0)*MATCH(L386,Lists!$D$2:$D$6,0))</f>
        <v/>
      </c>
      <c r="N386" s="32" t="str">
        <f t="shared" ref="N386:N449" si="12">IF(M386="","",IF(M386&gt;=12,"Critical",IF(M386&gt;=8,"High",IF(M386&gt;=4,"Medium","Low"))))</f>
        <v/>
      </c>
      <c r="O386" s="32" t="str">
        <f t="shared" ref="O386:O449" si="13">IF(N386="","",IF(N386="Critical","P1",IF(N386="High","P2",IF(N386="Medium","P3","P4"))))</f>
        <v/>
      </c>
      <c r="P386" s="18"/>
      <c r="Q386" s="18"/>
      <c r="R386" s="18"/>
      <c r="S386" s="18"/>
      <c r="T386" s="18"/>
      <c r="U386" s="18"/>
      <c r="V386" s="35"/>
      <c r="W386" s="19"/>
    </row>
    <row r="387" spans="1:23">
      <c r="A387" s="18"/>
      <c r="B387" s="19"/>
      <c r="C387" s="18"/>
      <c r="D387" s="19"/>
      <c r="E387" s="18"/>
      <c r="F387" s="19"/>
      <c r="G387" s="19"/>
      <c r="H387" s="19"/>
      <c r="I387" s="18"/>
      <c r="J387" s="18"/>
      <c r="K387" s="18"/>
      <c r="L387" s="18"/>
      <c r="M387" s="32" t="str">
        <f>IF(OR(K387="",L387=""),"",MATCH(K387,Lists!$C$2:$C$5,0)*MATCH(L387,Lists!$D$2:$D$6,0))</f>
        <v/>
      </c>
      <c r="N387" s="32" t="str">
        <f t="shared" si="12"/>
        <v/>
      </c>
      <c r="O387" s="32" t="str">
        <f t="shared" si="13"/>
        <v/>
      </c>
      <c r="P387" s="18"/>
      <c r="Q387" s="18"/>
      <c r="R387" s="18"/>
      <c r="S387" s="18"/>
      <c r="T387" s="18"/>
      <c r="U387" s="18"/>
      <c r="V387" s="35"/>
      <c r="W387" s="19"/>
    </row>
    <row r="388" spans="1:23">
      <c r="A388" s="18"/>
      <c r="B388" s="19"/>
      <c r="C388" s="18"/>
      <c r="D388" s="19"/>
      <c r="E388" s="18"/>
      <c r="F388" s="19"/>
      <c r="G388" s="19"/>
      <c r="H388" s="19"/>
      <c r="I388" s="18"/>
      <c r="J388" s="18"/>
      <c r="K388" s="18"/>
      <c r="L388" s="18"/>
      <c r="M388" s="32" t="str">
        <f>IF(OR(K388="",L388=""),"",MATCH(K388,Lists!$C$2:$C$5,0)*MATCH(L388,Lists!$D$2:$D$6,0))</f>
        <v/>
      </c>
      <c r="N388" s="32" t="str">
        <f t="shared" si="12"/>
        <v/>
      </c>
      <c r="O388" s="32" t="str">
        <f t="shared" si="13"/>
        <v/>
      </c>
      <c r="P388" s="18"/>
      <c r="Q388" s="18"/>
      <c r="R388" s="18"/>
      <c r="S388" s="18"/>
      <c r="T388" s="18"/>
      <c r="U388" s="18"/>
      <c r="V388" s="35"/>
      <c r="W388" s="19"/>
    </row>
    <row r="389" spans="1:23">
      <c r="A389" s="18"/>
      <c r="B389" s="19"/>
      <c r="C389" s="18"/>
      <c r="D389" s="19"/>
      <c r="E389" s="18"/>
      <c r="F389" s="19"/>
      <c r="G389" s="19"/>
      <c r="H389" s="19"/>
      <c r="I389" s="18"/>
      <c r="J389" s="18"/>
      <c r="K389" s="18"/>
      <c r="L389" s="18"/>
      <c r="M389" s="32" t="str">
        <f>IF(OR(K389="",L389=""),"",MATCH(K389,Lists!$C$2:$C$5,0)*MATCH(L389,Lists!$D$2:$D$6,0))</f>
        <v/>
      </c>
      <c r="N389" s="32" t="str">
        <f t="shared" si="12"/>
        <v/>
      </c>
      <c r="O389" s="32" t="str">
        <f t="shared" si="13"/>
        <v/>
      </c>
      <c r="P389" s="18"/>
      <c r="Q389" s="18"/>
      <c r="R389" s="18"/>
      <c r="S389" s="18"/>
      <c r="T389" s="18"/>
      <c r="U389" s="18"/>
      <c r="V389" s="35"/>
      <c r="W389" s="19"/>
    </row>
    <row r="390" spans="1:23">
      <c r="A390" s="18"/>
      <c r="B390" s="19"/>
      <c r="C390" s="18"/>
      <c r="D390" s="19"/>
      <c r="E390" s="18"/>
      <c r="F390" s="19"/>
      <c r="G390" s="19"/>
      <c r="H390" s="19"/>
      <c r="I390" s="18"/>
      <c r="J390" s="18"/>
      <c r="K390" s="18"/>
      <c r="L390" s="18"/>
      <c r="M390" s="32" t="str">
        <f>IF(OR(K390="",L390=""),"",MATCH(K390,Lists!$C$2:$C$5,0)*MATCH(L390,Lists!$D$2:$D$6,0))</f>
        <v/>
      </c>
      <c r="N390" s="32" t="str">
        <f t="shared" si="12"/>
        <v/>
      </c>
      <c r="O390" s="32" t="str">
        <f t="shared" si="13"/>
        <v/>
      </c>
      <c r="P390" s="18"/>
      <c r="Q390" s="18"/>
      <c r="R390" s="18"/>
      <c r="S390" s="18"/>
      <c r="T390" s="18"/>
      <c r="U390" s="18"/>
      <c r="V390" s="35"/>
      <c r="W390" s="19"/>
    </row>
    <row r="391" spans="1:23">
      <c r="A391" s="18"/>
      <c r="B391" s="19"/>
      <c r="C391" s="18"/>
      <c r="D391" s="19"/>
      <c r="E391" s="18"/>
      <c r="F391" s="19"/>
      <c r="G391" s="19"/>
      <c r="H391" s="19"/>
      <c r="I391" s="18"/>
      <c r="J391" s="18"/>
      <c r="K391" s="18"/>
      <c r="L391" s="18"/>
      <c r="M391" s="32" t="str">
        <f>IF(OR(K391="",L391=""),"",MATCH(K391,Lists!$C$2:$C$5,0)*MATCH(L391,Lists!$D$2:$D$6,0))</f>
        <v/>
      </c>
      <c r="N391" s="32" t="str">
        <f t="shared" si="12"/>
        <v/>
      </c>
      <c r="O391" s="32" t="str">
        <f t="shared" si="13"/>
        <v/>
      </c>
      <c r="P391" s="18"/>
      <c r="Q391" s="18"/>
      <c r="R391" s="18"/>
      <c r="S391" s="18"/>
      <c r="T391" s="18"/>
      <c r="U391" s="18"/>
      <c r="V391" s="35"/>
      <c r="W391" s="19"/>
    </row>
    <row r="392" spans="1:23">
      <c r="A392" s="18"/>
      <c r="B392" s="19"/>
      <c r="C392" s="18"/>
      <c r="D392" s="19"/>
      <c r="E392" s="18"/>
      <c r="F392" s="19"/>
      <c r="G392" s="19"/>
      <c r="H392" s="19"/>
      <c r="I392" s="18"/>
      <c r="J392" s="18"/>
      <c r="K392" s="18"/>
      <c r="L392" s="18"/>
      <c r="M392" s="32" t="str">
        <f>IF(OR(K392="",L392=""),"",MATCH(K392,Lists!$C$2:$C$5,0)*MATCH(L392,Lists!$D$2:$D$6,0))</f>
        <v/>
      </c>
      <c r="N392" s="32" t="str">
        <f t="shared" si="12"/>
        <v/>
      </c>
      <c r="O392" s="32" t="str">
        <f t="shared" si="13"/>
        <v/>
      </c>
      <c r="P392" s="18"/>
      <c r="Q392" s="18"/>
      <c r="R392" s="18"/>
      <c r="S392" s="18"/>
      <c r="T392" s="18"/>
      <c r="U392" s="18"/>
      <c r="V392" s="35"/>
      <c r="W392" s="19"/>
    </row>
    <row r="393" spans="1:23">
      <c r="A393" s="18"/>
      <c r="B393" s="19"/>
      <c r="C393" s="18"/>
      <c r="D393" s="19"/>
      <c r="E393" s="18"/>
      <c r="F393" s="19"/>
      <c r="G393" s="19"/>
      <c r="H393" s="19"/>
      <c r="I393" s="18"/>
      <c r="J393" s="18"/>
      <c r="K393" s="18"/>
      <c r="L393" s="18"/>
      <c r="M393" s="32" t="str">
        <f>IF(OR(K393="",L393=""),"",MATCH(K393,Lists!$C$2:$C$5,0)*MATCH(L393,Lists!$D$2:$D$6,0))</f>
        <v/>
      </c>
      <c r="N393" s="32" t="str">
        <f t="shared" si="12"/>
        <v/>
      </c>
      <c r="O393" s="32" t="str">
        <f t="shared" si="13"/>
        <v/>
      </c>
      <c r="P393" s="18"/>
      <c r="Q393" s="18"/>
      <c r="R393" s="18"/>
      <c r="S393" s="18"/>
      <c r="T393" s="18"/>
      <c r="U393" s="18"/>
      <c r="V393" s="35"/>
      <c r="W393" s="19"/>
    </row>
    <row r="394" spans="1:23">
      <c r="A394" s="18"/>
      <c r="B394" s="19"/>
      <c r="C394" s="18"/>
      <c r="D394" s="19"/>
      <c r="E394" s="18"/>
      <c r="F394" s="19"/>
      <c r="G394" s="19"/>
      <c r="H394" s="19"/>
      <c r="I394" s="18"/>
      <c r="J394" s="18"/>
      <c r="K394" s="18"/>
      <c r="L394" s="18"/>
      <c r="M394" s="32" t="str">
        <f>IF(OR(K394="",L394=""),"",MATCH(K394,Lists!$C$2:$C$5,0)*MATCH(L394,Lists!$D$2:$D$6,0))</f>
        <v/>
      </c>
      <c r="N394" s="32" t="str">
        <f t="shared" si="12"/>
        <v/>
      </c>
      <c r="O394" s="32" t="str">
        <f t="shared" si="13"/>
        <v/>
      </c>
      <c r="P394" s="18"/>
      <c r="Q394" s="18"/>
      <c r="R394" s="18"/>
      <c r="S394" s="18"/>
      <c r="T394" s="18"/>
      <c r="U394" s="18"/>
      <c r="V394" s="35"/>
      <c r="W394" s="19"/>
    </row>
    <row r="395" spans="1:23">
      <c r="A395" s="18"/>
      <c r="B395" s="19"/>
      <c r="C395" s="18"/>
      <c r="D395" s="19"/>
      <c r="E395" s="18"/>
      <c r="F395" s="19"/>
      <c r="G395" s="19"/>
      <c r="H395" s="19"/>
      <c r="I395" s="18"/>
      <c r="J395" s="18"/>
      <c r="K395" s="18"/>
      <c r="L395" s="18"/>
      <c r="M395" s="32" t="str">
        <f>IF(OR(K395="",L395=""),"",MATCH(K395,Lists!$C$2:$C$5,0)*MATCH(L395,Lists!$D$2:$D$6,0))</f>
        <v/>
      </c>
      <c r="N395" s="32" t="str">
        <f t="shared" si="12"/>
        <v/>
      </c>
      <c r="O395" s="32" t="str">
        <f t="shared" si="13"/>
        <v/>
      </c>
      <c r="P395" s="18"/>
      <c r="Q395" s="18"/>
      <c r="R395" s="18"/>
      <c r="S395" s="18"/>
      <c r="T395" s="18"/>
      <c r="U395" s="18"/>
      <c r="V395" s="35"/>
      <c r="W395" s="19"/>
    </row>
    <row r="396" spans="1:23">
      <c r="A396" s="18"/>
      <c r="B396" s="19"/>
      <c r="C396" s="18"/>
      <c r="D396" s="19"/>
      <c r="E396" s="18"/>
      <c r="F396" s="19"/>
      <c r="G396" s="19"/>
      <c r="H396" s="19"/>
      <c r="I396" s="18"/>
      <c r="J396" s="18"/>
      <c r="K396" s="18"/>
      <c r="L396" s="18"/>
      <c r="M396" s="32" t="str">
        <f>IF(OR(K396="",L396=""),"",MATCH(K396,Lists!$C$2:$C$5,0)*MATCH(L396,Lists!$D$2:$D$6,0))</f>
        <v/>
      </c>
      <c r="N396" s="32" t="str">
        <f t="shared" si="12"/>
        <v/>
      </c>
      <c r="O396" s="32" t="str">
        <f t="shared" si="13"/>
        <v/>
      </c>
      <c r="P396" s="18"/>
      <c r="Q396" s="18"/>
      <c r="R396" s="18"/>
      <c r="S396" s="18"/>
      <c r="T396" s="18"/>
      <c r="U396" s="18"/>
      <c r="V396" s="35"/>
      <c r="W396" s="19"/>
    </row>
    <row r="397" spans="1:23">
      <c r="A397" s="18"/>
      <c r="B397" s="19"/>
      <c r="C397" s="18"/>
      <c r="D397" s="19"/>
      <c r="E397" s="18"/>
      <c r="F397" s="19"/>
      <c r="G397" s="19"/>
      <c r="H397" s="19"/>
      <c r="I397" s="18"/>
      <c r="J397" s="18"/>
      <c r="K397" s="18"/>
      <c r="L397" s="18"/>
      <c r="M397" s="32" t="str">
        <f>IF(OR(K397="",L397=""),"",MATCH(K397,Lists!$C$2:$C$5,0)*MATCH(L397,Lists!$D$2:$D$6,0))</f>
        <v/>
      </c>
      <c r="N397" s="32" t="str">
        <f t="shared" si="12"/>
        <v/>
      </c>
      <c r="O397" s="32" t="str">
        <f t="shared" si="13"/>
        <v/>
      </c>
      <c r="P397" s="18"/>
      <c r="Q397" s="18"/>
      <c r="R397" s="18"/>
      <c r="S397" s="18"/>
      <c r="T397" s="18"/>
      <c r="U397" s="18"/>
      <c r="V397" s="35"/>
      <c r="W397" s="19"/>
    </row>
    <row r="398" spans="1:23">
      <c r="A398" s="18"/>
      <c r="B398" s="19"/>
      <c r="C398" s="18"/>
      <c r="D398" s="19"/>
      <c r="E398" s="18"/>
      <c r="F398" s="19"/>
      <c r="G398" s="19"/>
      <c r="H398" s="19"/>
      <c r="I398" s="18"/>
      <c r="J398" s="18"/>
      <c r="K398" s="18"/>
      <c r="L398" s="18"/>
      <c r="M398" s="32" t="str">
        <f>IF(OR(K398="",L398=""),"",MATCH(K398,Lists!$C$2:$C$5,0)*MATCH(L398,Lists!$D$2:$D$6,0))</f>
        <v/>
      </c>
      <c r="N398" s="32" t="str">
        <f t="shared" si="12"/>
        <v/>
      </c>
      <c r="O398" s="32" t="str">
        <f t="shared" si="13"/>
        <v/>
      </c>
      <c r="P398" s="18"/>
      <c r="Q398" s="18"/>
      <c r="R398" s="18"/>
      <c r="S398" s="18"/>
      <c r="T398" s="18"/>
      <c r="U398" s="18"/>
      <c r="V398" s="35"/>
      <c r="W398" s="19"/>
    </row>
    <row r="399" spans="1:23">
      <c r="A399" s="18"/>
      <c r="B399" s="19"/>
      <c r="C399" s="18"/>
      <c r="D399" s="19"/>
      <c r="E399" s="18"/>
      <c r="F399" s="19"/>
      <c r="G399" s="19"/>
      <c r="H399" s="19"/>
      <c r="I399" s="18"/>
      <c r="J399" s="18"/>
      <c r="K399" s="18"/>
      <c r="L399" s="18"/>
      <c r="M399" s="32" t="str">
        <f>IF(OR(K399="",L399=""),"",MATCH(K399,Lists!$C$2:$C$5,0)*MATCH(L399,Lists!$D$2:$D$6,0))</f>
        <v/>
      </c>
      <c r="N399" s="32" t="str">
        <f t="shared" si="12"/>
        <v/>
      </c>
      <c r="O399" s="32" t="str">
        <f t="shared" si="13"/>
        <v/>
      </c>
      <c r="P399" s="18"/>
      <c r="Q399" s="18"/>
      <c r="R399" s="18"/>
      <c r="S399" s="18"/>
      <c r="T399" s="18"/>
      <c r="U399" s="18"/>
      <c r="V399" s="35"/>
      <c r="W399" s="19"/>
    </row>
    <row r="400" spans="1:23">
      <c r="A400" s="18"/>
      <c r="B400" s="19"/>
      <c r="C400" s="18"/>
      <c r="D400" s="19"/>
      <c r="E400" s="18"/>
      <c r="F400" s="19"/>
      <c r="G400" s="19"/>
      <c r="H400" s="19"/>
      <c r="I400" s="18"/>
      <c r="J400" s="18"/>
      <c r="K400" s="18"/>
      <c r="L400" s="18"/>
      <c r="M400" s="32" t="str">
        <f>IF(OR(K400="",L400=""),"",MATCH(K400,Lists!$C$2:$C$5,0)*MATCH(L400,Lists!$D$2:$D$6,0))</f>
        <v/>
      </c>
      <c r="N400" s="32" t="str">
        <f t="shared" si="12"/>
        <v/>
      </c>
      <c r="O400" s="32" t="str">
        <f t="shared" si="13"/>
        <v/>
      </c>
      <c r="P400" s="18"/>
      <c r="Q400" s="18"/>
      <c r="R400" s="18"/>
      <c r="S400" s="18"/>
      <c r="T400" s="18"/>
      <c r="U400" s="18"/>
      <c r="V400" s="35"/>
      <c r="W400" s="19"/>
    </row>
    <row r="401" spans="1:23">
      <c r="A401" s="18"/>
      <c r="B401" s="19"/>
      <c r="C401" s="18"/>
      <c r="D401" s="19"/>
      <c r="E401" s="18"/>
      <c r="F401" s="19"/>
      <c r="G401" s="19"/>
      <c r="H401" s="19"/>
      <c r="I401" s="18"/>
      <c r="J401" s="18"/>
      <c r="K401" s="18"/>
      <c r="L401" s="18"/>
      <c r="M401" s="32" t="str">
        <f>IF(OR(K401="",L401=""),"",MATCH(K401,Lists!$C$2:$C$5,0)*MATCH(L401,Lists!$D$2:$D$6,0))</f>
        <v/>
      </c>
      <c r="N401" s="32" t="str">
        <f t="shared" si="12"/>
        <v/>
      </c>
      <c r="O401" s="32" t="str">
        <f t="shared" si="13"/>
        <v/>
      </c>
      <c r="P401" s="18"/>
      <c r="Q401" s="18"/>
      <c r="R401" s="18"/>
      <c r="S401" s="18"/>
      <c r="T401" s="18"/>
      <c r="U401" s="18"/>
      <c r="V401" s="35"/>
      <c r="W401" s="19"/>
    </row>
    <row r="402" spans="1:23">
      <c r="A402" s="18"/>
      <c r="B402" s="19"/>
      <c r="C402" s="18"/>
      <c r="D402" s="19"/>
      <c r="E402" s="18"/>
      <c r="F402" s="19"/>
      <c r="G402" s="19"/>
      <c r="H402" s="19"/>
      <c r="I402" s="18"/>
      <c r="J402" s="18"/>
      <c r="K402" s="18"/>
      <c r="L402" s="18"/>
      <c r="M402" s="32" t="str">
        <f>IF(OR(K402="",L402=""),"",MATCH(K402,Lists!$C$2:$C$5,0)*MATCH(L402,Lists!$D$2:$D$6,0))</f>
        <v/>
      </c>
      <c r="N402" s="32" t="str">
        <f t="shared" si="12"/>
        <v/>
      </c>
      <c r="O402" s="32" t="str">
        <f t="shared" si="13"/>
        <v/>
      </c>
      <c r="P402" s="18"/>
      <c r="Q402" s="18"/>
      <c r="R402" s="18"/>
      <c r="S402" s="18"/>
      <c r="T402" s="18"/>
      <c r="U402" s="18"/>
      <c r="V402" s="35"/>
      <c r="W402" s="19"/>
    </row>
    <row r="403" spans="1:23">
      <c r="A403" s="18"/>
      <c r="B403" s="19"/>
      <c r="C403" s="18"/>
      <c r="D403" s="19"/>
      <c r="E403" s="18"/>
      <c r="F403" s="19"/>
      <c r="G403" s="19"/>
      <c r="H403" s="19"/>
      <c r="I403" s="18"/>
      <c r="J403" s="18"/>
      <c r="K403" s="18"/>
      <c r="L403" s="18"/>
      <c r="M403" s="32" t="str">
        <f>IF(OR(K403="",L403=""),"",MATCH(K403,Lists!$C$2:$C$5,0)*MATCH(L403,Lists!$D$2:$D$6,0))</f>
        <v/>
      </c>
      <c r="N403" s="32" t="str">
        <f t="shared" si="12"/>
        <v/>
      </c>
      <c r="O403" s="32" t="str">
        <f t="shared" si="13"/>
        <v/>
      </c>
      <c r="P403" s="18"/>
      <c r="Q403" s="18"/>
      <c r="R403" s="18"/>
      <c r="S403" s="18"/>
      <c r="T403" s="18"/>
      <c r="U403" s="18"/>
      <c r="V403" s="35"/>
      <c r="W403" s="19"/>
    </row>
    <row r="404" spans="1:23">
      <c r="A404" s="18"/>
      <c r="B404" s="19"/>
      <c r="C404" s="18"/>
      <c r="D404" s="19"/>
      <c r="E404" s="18"/>
      <c r="F404" s="19"/>
      <c r="G404" s="19"/>
      <c r="H404" s="19"/>
      <c r="I404" s="18"/>
      <c r="J404" s="18"/>
      <c r="K404" s="18"/>
      <c r="L404" s="18"/>
      <c r="M404" s="32" t="str">
        <f>IF(OR(K404="",L404=""),"",MATCH(K404,Lists!$C$2:$C$5,0)*MATCH(L404,Lists!$D$2:$D$6,0))</f>
        <v/>
      </c>
      <c r="N404" s="32" t="str">
        <f t="shared" si="12"/>
        <v/>
      </c>
      <c r="O404" s="32" t="str">
        <f t="shared" si="13"/>
        <v/>
      </c>
      <c r="P404" s="18"/>
      <c r="Q404" s="18"/>
      <c r="R404" s="18"/>
      <c r="S404" s="18"/>
      <c r="T404" s="18"/>
      <c r="U404" s="18"/>
      <c r="V404" s="35"/>
      <c r="W404" s="19"/>
    </row>
    <row r="405" spans="1:23">
      <c r="A405" s="18"/>
      <c r="B405" s="19"/>
      <c r="C405" s="18"/>
      <c r="D405" s="19"/>
      <c r="E405" s="18"/>
      <c r="F405" s="19"/>
      <c r="G405" s="19"/>
      <c r="H405" s="19"/>
      <c r="I405" s="18"/>
      <c r="J405" s="18"/>
      <c r="K405" s="18"/>
      <c r="L405" s="18"/>
      <c r="M405" s="32" t="str">
        <f>IF(OR(K405="",L405=""),"",MATCH(K405,Lists!$C$2:$C$5,0)*MATCH(L405,Lists!$D$2:$D$6,0))</f>
        <v/>
      </c>
      <c r="N405" s="32" t="str">
        <f t="shared" si="12"/>
        <v/>
      </c>
      <c r="O405" s="32" t="str">
        <f t="shared" si="13"/>
        <v/>
      </c>
      <c r="P405" s="18"/>
      <c r="Q405" s="18"/>
      <c r="R405" s="18"/>
      <c r="S405" s="18"/>
      <c r="T405" s="18"/>
      <c r="U405" s="18"/>
      <c r="V405" s="35"/>
      <c r="W405" s="19"/>
    </row>
    <row r="406" spans="1:23">
      <c r="A406" s="18"/>
      <c r="B406" s="19"/>
      <c r="C406" s="18"/>
      <c r="D406" s="19"/>
      <c r="E406" s="18"/>
      <c r="F406" s="19"/>
      <c r="G406" s="19"/>
      <c r="H406" s="19"/>
      <c r="I406" s="18"/>
      <c r="J406" s="18"/>
      <c r="K406" s="18"/>
      <c r="L406" s="18"/>
      <c r="M406" s="32" t="str">
        <f>IF(OR(K406="",L406=""),"",MATCH(K406,Lists!$C$2:$C$5,0)*MATCH(L406,Lists!$D$2:$D$6,0))</f>
        <v/>
      </c>
      <c r="N406" s="32" t="str">
        <f t="shared" si="12"/>
        <v/>
      </c>
      <c r="O406" s="32" t="str">
        <f t="shared" si="13"/>
        <v/>
      </c>
      <c r="P406" s="18"/>
      <c r="Q406" s="18"/>
      <c r="R406" s="18"/>
      <c r="S406" s="18"/>
      <c r="T406" s="18"/>
      <c r="U406" s="18"/>
      <c r="V406" s="35"/>
      <c r="W406" s="19"/>
    </row>
    <row r="407" spans="1:23">
      <c r="A407" s="18"/>
      <c r="B407" s="19"/>
      <c r="C407" s="18"/>
      <c r="D407" s="19"/>
      <c r="E407" s="18"/>
      <c r="F407" s="19"/>
      <c r="G407" s="19"/>
      <c r="H407" s="19"/>
      <c r="I407" s="18"/>
      <c r="J407" s="18"/>
      <c r="K407" s="18"/>
      <c r="L407" s="18"/>
      <c r="M407" s="32" t="str">
        <f>IF(OR(K407="",L407=""),"",MATCH(K407,Lists!$C$2:$C$5,0)*MATCH(L407,Lists!$D$2:$D$6,0))</f>
        <v/>
      </c>
      <c r="N407" s="32" t="str">
        <f t="shared" si="12"/>
        <v/>
      </c>
      <c r="O407" s="32" t="str">
        <f t="shared" si="13"/>
        <v/>
      </c>
      <c r="P407" s="18"/>
      <c r="Q407" s="18"/>
      <c r="R407" s="18"/>
      <c r="S407" s="18"/>
      <c r="T407" s="18"/>
      <c r="U407" s="18"/>
      <c r="V407" s="35"/>
      <c r="W407" s="19"/>
    </row>
    <row r="408" spans="1:23">
      <c r="A408" s="18"/>
      <c r="B408" s="19"/>
      <c r="C408" s="18"/>
      <c r="D408" s="19"/>
      <c r="E408" s="18"/>
      <c r="F408" s="19"/>
      <c r="G408" s="19"/>
      <c r="H408" s="19"/>
      <c r="I408" s="18"/>
      <c r="J408" s="18"/>
      <c r="K408" s="18"/>
      <c r="L408" s="18"/>
      <c r="M408" s="32" t="str">
        <f>IF(OR(K408="",L408=""),"",MATCH(K408,Lists!$C$2:$C$5,0)*MATCH(L408,Lists!$D$2:$D$6,0))</f>
        <v/>
      </c>
      <c r="N408" s="32" t="str">
        <f t="shared" si="12"/>
        <v/>
      </c>
      <c r="O408" s="32" t="str">
        <f t="shared" si="13"/>
        <v/>
      </c>
      <c r="P408" s="18"/>
      <c r="Q408" s="18"/>
      <c r="R408" s="18"/>
      <c r="S408" s="18"/>
      <c r="T408" s="18"/>
      <c r="U408" s="18"/>
      <c r="V408" s="35"/>
      <c r="W408" s="19"/>
    </row>
    <row r="409" spans="1:23">
      <c r="A409" s="18"/>
      <c r="B409" s="19"/>
      <c r="C409" s="18"/>
      <c r="D409" s="19"/>
      <c r="E409" s="18"/>
      <c r="F409" s="19"/>
      <c r="G409" s="19"/>
      <c r="H409" s="19"/>
      <c r="I409" s="18"/>
      <c r="J409" s="18"/>
      <c r="K409" s="18"/>
      <c r="L409" s="18"/>
      <c r="M409" s="32" t="str">
        <f>IF(OR(K409="",L409=""),"",MATCH(K409,Lists!$C$2:$C$5,0)*MATCH(L409,Lists!$D$2:$D$6,0))</f>
        <v/>
      </c>
      <c r="N409" s="32" t="str">
        <f t="shared" si="12"/>
        <v/>
      </c>
      <c r="O409" s="32" t="str">
        <f t="shared" si="13"/>
        <v/>
      </c>
      <c r="P409" s="18"/>
      <c r="Q409" s="18"/>
      <c r="R409" s="18"/>
      <c r="S409" s="18"/>
      <c r="T409" s="18"/>
      <c r="U409" s="18"/>
      <c r="V409" s="35"/>
      <c r="W409" s="19"/>
    </row>
    <row r="410" spans="1:23">
      <c r="A410" s="18"/>
      <c r="B410" s="19"/>
      <c r="C410" s="18"/>
      <c r="D410" s="19"/>
      <c r="E410" s="18"/>
      <c r="F410" s="19"/>
      <c r="G410" s="19"/>
      <c r="H410" s="19"/>
      <c r="I410" s="18"/>
      <c r="J410" s="18"/>
      <c r="K410" s="18"/>
      <c r="L410" s="18"/>
      <c r="M410" s="32" t="str">
        <f>IF(OR(K410="",L410=""),"",MATCH(K410,Lists!$C$2:$C$5,0)*MATCH(L410,Lists!$D$2:$D$6,0))</f>
        <v/>
      </c>
      <c r="N410" s="32" t="str">
        <f t="shared" si="12"/>
        <v/>
      </c>
      <c r="O410" s="32" t="str">
        <f t="shared" si="13"/>
        <v/>
      </c>
      <c r="P410" s="18"/>
      <c r="Q410" s="18"/>
      <c r="R410" s="18"/>
      <c r="S410" s="18"/>
      <c r="T410" s="18"/>
      <c r="U410" s="18"/>
      <c r="V410" s="35"/>
      <c r="W410" s="19"/>
    </row>
    <row r="411" spans="1:23">
      <c r="A411" s="18"/>
      <c r="B411" s="19"/>
      <c r="C411" s="18"/>
      <c r="D411" s="19"/>
      <c r="E411" s="18"/>
      <c r="F411" s="19"/>
      <c r="G411" s="19"/>
      <c r="H411" s="19"/>
      <c r="I411" s="18"/>
      <c r="J411" s="18"/>
      <c r="K411" s="18"/>
      <c r="L411" s="18"/>
      <c r="M411" s="32" t="str">
        <f>IF(OR(K411="",L411=""),"",MATCH(K411,Lists!$C$2:$C$5,0)*MATCH(L411,Lists!$D$2:$D$6,0))</f>
        <v/>
      </c>
      <c r="N411" s="32" t="str">
        <f t="shared" si="12"/>
        <v/>
      </c>
      <c r="O411" s="32" t="str">
        <f t="shared" si="13"/>
        <v/>
      </c>
      <c r="P411" s="18"/>
      <c r="Q411" s="18"/>
      <c r="R411" s="18"/>
      <c r="S411" s="18"/>
      <c r="T411" s="18"/>
      <c r="U411" s="18"/>
      <c r="V411" s="35"/>
      <c r="W411" s="19"/>
    </row>
    <row r="412" spans="1:23">
      <c r="A412" s="18"/>
      <c r="B412" s="19"/>
      <c r="C412" s="18"/>
      <c r="D412" s="19"/>
      <c r="E412" s="18"/>
      <c r="F412" s="19"/>
      <c r="G412" s="19"/>
      <c r="H412" s="19"/>
      <c r="I412" s="18"/>
      <c r="J412" s="18"/>
      <c r="K412" s="18"/>
      <c r="L412" s="18"/>
      <c r="M412" s="32" t="str">
        <f>IF(OR(K412="",L412=""),"",MATCH(K412,Lists!$C$2:$C$5,0)*MATCH(L412,Lists!$D$2:$D$6,0))</f>
        <v/>
      </c>
      <c r="N412" s="32" t="str">
        <f t="shared" si="12"/>
        <v/>
      </c>
      <c r="O412" s="32" t="str">
        <f t="shared" si="13"/>
        <v/>
      </c>
      <c r="P412" s="18"/>
      <c r="Q412" s="18"/>
      <c r="R412" s="18"/>
      <c r="S412" s="18"/>
      <c r="T412" s="18"/>
      <c r="U412" s="18"/>
      <c r="V412" s="35"/>
      <c r="W412" s="19"/>
    </row>
    <row r="413" spans="1:23">
      <c r="A413" s="18"/>
      <c r="B413" s="19"/>
      <c r="C413" s="18"/>
      <c r="D413" s="19"/>
      <c r="E413" s="18"/>
      <c r="F413" s="19"/>
      <c r="G413" s="19"/>
      <c r="H413" s="19"/>
      <c r="I413" s="18"/>
      <c r="J413" s="18"/>
      <c r="K413" s="18"/>
      <c r="L413" s="18"/>
      <c r="M413" s="32" t="str">
        <f>IF(OR(K413="",L413=""),"",MATCH(K413,Lists!$C$2:$C$5,0)*MATCH(L413,Lists!$D$2:$D$6,0))</f>
        <v/>
      </c>
      <c r="N413" s="32" t="str">
        <f t="shared" si="12"/>
        <v/>
      </c>
      <c r="O413" s="32" t="str">
        <f t="shared" si="13"/>
        <v/>
      </c>
      <c r="P413" s="18"/>
      <c r="Q413" s="18"/>
      <c r="R413" s="18"/>
      <c r="S413" s="18"/>
      <c r="T413" s="18"/>
      <c r="U413" s="18"/>
      <c r="V413" s="35"/>
      <c r="W413" s="19"/>
    </row>
    <row r="414" spans="1:23">
      <c r="A414" s="18"/>
      <c r="B414" s="19"/>
      <c r="C414" s="18"/>
      <c r="D414" s="19"/>
      <c r="E414" s="18"/>
      <c r="F414" s="19"/>
      <c r="G414" s="19"/>
      <c r="H414" s="19"/>
      <c r="I414" s="18"/>
      <c r="J414" s="18"/>
      <c r="K414" s="18"/>
      <c r="L414" s="18"/>
      <c r="M414" s="32" t="str">
        <f>IF(OR(K414="",L414=""),"",MATCH(K414,Lists!$C$2:$C$5,0)*MATCH(L414,Lists!$D$2:$D$6,0))</f>
        <v/>
      </c>
      <c r="N414" s="32" t="str">
        <f t="shared" si="12"/>
        <v/>
      </c>
      <c r="O414" s="32" t="str">
        <f t="shared" si="13"/>
        <v/>
      </c>
      <c r="P414" s="18"/>
      <c r="Q414" s="18"/>
      <c r="R414" s="18"/>
      <c r="S414" s="18"/>
      <c r="T414" s="18"/>
      <c r="U414" s="18"/>
      <c r="V414" s="35"/>
      <c r="W414" s="19"/>
    </row>
    <row r="415" spans="1:23">
      <c r="A415" s="18"/>
      <c r="B415" s="19"/>
      <c r="C415" s="18"/>
      <c r="D415" s="19"/>
      <c r="E415" s="18"/>
      <c r="F415" s="19"/>
      <c r="G415" s="19"/>
      <c r="H415" s="19"/>
      <c r="I415" s="18"/>
      <c r="J415" s="18"/>
      <c r="K415" s="18"/>
      <c r="L415" s="18"/>
      <c r="M415" s="32" t="str">
        <f>IF(OR(K415="",L415=""),"",MATCH(K415,Lists!$C$2:$C$5,0)*MATCH(L415,Lists!$D$2:$D$6,0))</f>
        <v/>
      </c>
      <c r="N415" s="32" t="str">
        <f t="shared" si="12"/>
        <v/>
      </c>
      <c r="O415" s="32" t="str">
        <f t="shared" si="13"/>
        <v/>
      </c>
      <c r="P415" s="18"/>
      <c r="Q415" s="18"/>
      <c r="R415" s="18"/>
      <c r="S415" s="18"/>
      <c r="T415" s="18"/>
      <c r="U415" s="18"/>
      <c r="V415" s="35"/>
      <c r="W415" s="19"/>
    </row>
    <row r="416" spans="1:23">
      <c r="A416" s="18"/>
      <c r="B416" s="19"/>
      <c r="C416" s="18"/>
      <c r="D416" s="19"/>
      <c r="E416" s="18"/>
      <c r="F416" s="19"/>
      <c r="G416" s="19"/>
      <c r="H416" s="19"/>
      <c r="I416" s="18"/>
      <c r="J416" s="18"/>
      <c r="K416" s="18"/>
      <c r="L416" s="18"/>
      <c r="M416" s="32" t="str">
        <f>IF(OR(K416="",L416=""),"",MATCH(K416,Lists!$C$2:$C$5,0)*MATCH(L416,Lists!$D$2:$D$6,0))</f>
        <v/>
      </c>
      <c r="N416" s="32" t="str">
        <f t="shared" si="12"/>
        <v/>
      </c>
      <c r="O416" s="32" t="str">
        <f t="shared" si="13"/>
        <v/>
      </c>
      <c r="P416" s="18"/>
      <c r="Q416" s="18"/>
      <c r="R416" s="18"/>
      <c r="S416" s="18"/>
      <c r="T416" s="18"/>
      <c r="U416" s="18"/>
      <c r="V416" s="35"/>
      <c r="W416" s="19"/>
    </row>
    <row r="417" spans="1:23">
      <c r="A417" s="18"/>
      <c r="B417" s="19"/>
      <c r="C417" s="18"/>
      <c r="D417" s="19"/>
      <c r="E417" s="18"/>
      <c r="F417" s="19"/>
      <c r="G417" s="19"/>
      <c r="H417" s="19"/>
      <c r="I417" s="18"/>
      <c r="J417" s="18"/>
      <c r="K417" s="18"/>
      <c r="L417" s="18"/>
      <c r="M417" s="32" t="str">
        <f>IF(OR(K417="",L417=""),"",MATCH(K417,Lists!$C$2:$C$5,0)*MATCH(L417,Lists!$D$2:$D$6,0))</f>
        <v/>
      </c>
      <c r="N417" s="32" t="str">
        <f t="shared" si="12"/>
        <v/>
      </c>
      <c r="O417" s="32" t="str">
        <f t="shared" si="13"/>
        <v/>
      </c>
      <c r="P417" s="18"/>
      <c r="Q417" s="18"/>
      <c r="R417" s="18"/>
      <c r="S417" s="18"/>
      <c r="T417" s="18"/>
      <c r="U417" s="18"/>
      <c r="V417" s="35"/>
      <c r="W417" s="19"/>
    </row>
    <row r="418" spans="1:23">
      <c r="A418" s="18"/>
      <c r="B418" s="19"/>
      <c r="C418" s="18"/>
      <c r="D418" s="19"/>
      <c r="E418" s="18"/>
      <c r="F418" s="19"/>
      <c r="G418" s="19"/>
      <c r="H418" s="19"/>
      <c r="I418" s="18"/>
      <c r="J418" s="18"/>
      <c r="K418" s="18"/>
      <c r="L418" s="18"/>
      <c r="M418" s="32" t="str">
        <f>IF(OR(K418="",L418=""),"",MATCH(K418,Lists!$C$2:$C$5,0)*MATCH(L418,Lists!$D$2:$D$6,0))</f>
        <v/>
      </c>
      <c r="N418" s="32" t="str">
        <f t="shared" si="12"/>
        <v/>
      </c>
      <c r="O418" s="32" t="str">
        <f t="shared" si="13"/>
        <v/>
      </c>
      <c r="P418" s="18"/>
      <c r="Q418" s="18"/>
      <c r="R418" s="18"/>
      <c r="S418" s="18"/>
      <c r="T418" s="18"/>
      <c r="U418" s="18"/>
      <c r="V418" s="35"/>
      <c r="W418" s="19"/>
    </row>
    <row r="419" spans="1:23">
      <c r="A419" s="18"/>
      <c r="B419" s="19"/>
      <c r="C419" s="18"/>
      <c r="D419" s="19"/>
      <c r="E419" s="18"/>
      <c r="F419" s="19"/>
      <c r="G419" s="19"/>
      <c r="H419" s="19"/>
      <c r="I419" s="18"/>
      <c r="J419" s="18"/>
      <c r="K419" s="18"/>
      <c r="L419" s="18"/>
      <c r="M419" s="32" t="str">
        <f>IF(OR(K419="",L419=""),"",MATCH(K419,Lists!$C$2:$C$5,0)*MATCH(L419,Lists!$D$2:$D$6,0))</f>
        <v/>
      </c>
      <c r="N419" s="32" t="str">
        <f t="shared" si="12"/>
        <v/>
      </c>
      <c r="O419" s="32" t="str">
        <f t="shared" si="13"/>
        <v/>
      </c>
      <c r="P419" s="18"/>
      <c r="Q419" s="18"/>
      <c r="R419" s="18"/>
      <c r="S419" s="18"/>
      <c r="T419" s="18"/>
      <c r="U419" s="18"/>
      <c r="V419" s="35"/>
      <c r="W419" s="19"/>
    </row>
    <row r="420" spans="1:23">
      <c r="A420" s="18"/>
      <c r="B420" s="19"/>
      <c r="C420" s="18"/>
      <c r="D420" s="19"/>
      <c r="E420" s="18"/>
      <c r="F420" s="19"/>
      <c r="G420" s="19"/>
      <c r="H420" s="19"/>
      <c r="I420" s="18"/>
      <c r="J420" s="18"/>
      <c r="K420" s="18"/>
      <c r="L420" s="18"/>
      <c r="M420" s="32" t="str">
        <f>IF(OR(K420="",L420=""),"",MATCH(K420,Lists!$C$2:$C$5,0)*MATCH(L420,Lists!$D$2:$D$6,0))</f>
        <v/>
      </c>
      <c r="N420" s="32" t="str">
        <f t="shared" si="12"/>
        <v/>
      </c>
      <c r="O420" s="32" t="str">
        <f t="shared" si="13"/>
        <v/>
      </c>
      <c r="P420" s="18"/>
      <c r="Q420" s="18"/>
      <c r="R420" s="18"/>
      <c r="S420" s="18"/>
      <c r="T420" s="18"/>
      <c r="U420" s="18"/>
      <c r="V420" s="35"/>
      <c r="W420" s="19"/>
    </row>
    <row r="421" spans="1:23">
      <c r="A421" s="18"/>
      <c r="B421" s="19"/>
      <c r="C421" s="18"/>
      <c r="D421" s="19"/>
      <c r="E421" s="18"/>
      <c r="F421" s="19"/>
      <c r="G421" s="19"/>
      <c r="H421" s="19"/>
      <c r="I421" s="18"/>
      <c r="J421" s="18"/>
      <c r="K421" s="18"/>
      <c r="L421" s="18"/>
      <c r="M421" s="32" t="str">
        <f>IF(OR(K421="",L421=""),"",MATCH(K421,Lists!$C$2:$C$5,0)*MATCH(L421,Lists!$D$2:$D$6,0))</f>
        <v/>
      </c>
      <c r="N421" s="32" t="str">
        <f t="shared" si="12"/>
        <v/>
      </c>
      <c r="O421" s="32" t="str">
        <f t="shared" si="13"/>
        <v/>
      </c>
      <c r="P421" s="18"/>
      <c r="Q421" s="18"/>
      <c r="R421" s="18"/>
      <c r="S421" s="18"/>
      <c r="T421" s="18"/>
      <c r="U421" s="18"/>
      <c r="V421" s="35"/>
      <c r="W421" s="19"/>
    </row>
    <row r="422" spans="1:23">
      <c r="A422" s="18"/>
      <c r="B422" s="19"/>
      <c r="C422" s="18"/>
      <c r="D422" s="19"/>
      <c r="E422" s="18"/>
      <c r="F422" s="19"/>
      <c r="G422" s="19"/>
      <c r="H422" s="19"/>
      <c r="I422" s="18"/>
      <c r="J422" s="18"/>
      <c r="K422" s="18"/>
      <c r="L422" s="18"/>
      <c r="M422" s="32" t="str">
        <f>IF(OR(K422="",L422=""),"",MATCH(K422,Lists!$C$2:$C$5,0)*MATCH(L422,Lists!$D$2:$D$6,0))</f>
        <v/>
      </c>
      <c r="N422" s="32" t="str">
        <f t="shared" si="12"/>
        <v/>
      </c>
      <c r="O422" s="32" t="str">
        <f t="shared" si="13"/>
        <v/>
      </c>
      <c r="P422" s="18"/>
      <c r="Q422" s="18"/>
      <c r="R422" s="18"/>
      <c r="S422" s="18"/>
      <c r="T422" s="18"/>
      <c r="U422" s="18"/>
      <c r="V422" s="35"/>
      <c r="W422" s="19"/>
    </row>
    <row r="423" spans="1:23">
      <c r="A423" s="18"/>
      <c r="B423" s="19"/>
      <c r="C423" s="18"/>
      <c r="D423" s="19"/>
      <c r="E423" s="18"/>
      <c r="F423" s="19"/>
      <c r="G423" s="19"/>
      <c r="H423" s="19"/>
      <c r="I423" s="18"/>
      <c r="J423" s="18"/>
      <c r="K423" s="18"/>
      <c r="L423" s="18"/>
      <c r="M423" s="32" t="str">
        <f>IF(OR(K423="",L423=""),"",MATCH(K423,Lists!$C$2:$C$5,0)*MATCH(L423,Lists!$D$2:$D$6,0))</f>
        <v/>
      </c>
      <c r="N423" s="32" t="str">
        <f t="shared" si="12"/>
        <v/>
      </c>
      <c r="O423" s="32" t="str">
        <f t="shared" si="13"/>
        <v/>
      </c>
      <c r="P423" s="18"/>
      <c r="Q423" s="18"/>
      <c r="R423" s="18"/>
      <c r="S423" s="18"/>
      <c r="T423" s="18"/>
      <c r="U423" s="18"/>
      <c r="V423" s="35"/>
      <c r="W423" s="19"/>
    </row>
    <row r="424" spans="1:23">
      <c r="A424" s="18"/>
      <c r="B424" s="19"/>
      <c r="C424" s="18"/>
      <c r="D424" s="19"/>
      <c r="E424" s="18"/>
      <c r="F424" s="19"/>
      <c r="G424" s="19"/>
      <c r="H424" s="19"/>
      <c r="I424" s="18"/>
      <c r="J424" s="18"/>
      <c r="K424" s="18"/>
      <c r="L424" s="18"/>
      <c r="M424" s="32" t="str">
        <f>IF(OR(K424="",L424=""),"",MATCH(K424,Lists!$C$2:$C$5,0)*MATCH(L424,Lists!$D$2:$D$6,0))</f>
        <v/>
      </c>
      <c r="N424" s="32" t="str">
        <f t="shared" si="12"/>
        <v/>
      </c>
      <c r="O424" s="32" t="str">
        <f t="shared" si="13"/>
        <v/>
      </c>
      <c r="P424" s="18"/>
      <c r="Q424" s="18"/>
      <c r="R424" s="18"/>
      <c r="S424" s="18"/>
      <c r="T424" s="18"/>
      <c r="U424" s="18"/>
      <c r="V424" s="35"/>
      <c r="W424" s="19"/>
    </row>
    <row r="425" spans="1:23">
      <c r="A425" s="18"/>
      <c r="B425" s="19"/>
      <c r="C425" s="18"/>
      <c r="D425" s="19"/>
      <c r="E425" s="18"/>
      <c r="F425" s="19"/>
      <c r="G425" s="19"/>
      <c r="H425" s="19"/>
      <c r="I425" s="18"/>
      <c r="J425" s="18"/>
      <c r="K425" s="18"/>
      <c r="L425" s="18"/>
      <c r="M425" s="32" t="str">
        <f>IF(OR(K425="",L425=""),"",MATCH(K425,Lists!$C$2:$C$5,0)*MATCH(L425,Lists!$D$2:$D$6,0))</f>
        <v/>
      </c>
      <c r="N425" s="32" t="str">
        <f t="shared" si="12"/>
        <v/>
      </c>
      <c r="O425" s="32" t="str">
        <f t="shared" si="13"/>
        <v/>
      </c>
      <c r="P425" s="18"/>
      <c r="Q425" s="18"/>
      <c r="R425" s="18"/>
      <c r="S425" s="18"/>
      <c r="T425" s="18"/>
      <c r="U425" s="18"/>
      <c r="V425" s="35"/>
      <c r="W425" s="19"/>
    </row>
    <row r="426" spans="1:23">
      <c r="A426" s="18"/>
      <c r="B426" s="19"/>
      <c r="C426" s="18"/>
      <c r="D426" s="19"/>
      <c r="E426" s="18"/>
      <c r="F426" s="19"/>
      <c r="G426" s="19"/>
      <c r="H426" s="19"/>
      <c r="I426" s="18"/>
      <c r="J426" s="18"/>
      <c r="K426" s="18"/>
      <c r="L426" s="18"/>
      <c r="M426" s="32" t="str">
        <f>IF(OR(K426="",L426=""),"",MATCH(K426,Lists!$C$2:$C$5,0)*MATCH(L426,Lists!$D$2:$D$6,0))</f>
        <v/>
      </c>
      <c r="N426" s="32" t="str">
        <f t="shared" si="12"/>
        <v/>
      </c>
      <c r="O426" s="32" t="str">
        <f t="shared" si="13"/>
        <v/>
      </c>
      <c r="P426" s="18"/>
      <c r="Q426" s="18"/>
      <c r="R426" s="18"/>
      <c r="S426" s="18"/>
      <c r="T426" s="18"/>
      <c r="U426" s="18"/>
      <c r="V426" s="35"/>
      <c r="W426" s="19"/>
    </row>
    <row r="427" spans="1:23">
      <c r="A427" s="18"/>
      <c r="B427" s="19"/>
      <c r="C427" s="18"/>
      <c r="D427" s="19"/>
      <c r="E427" s="18"/>
      <c r="F427" s="19"/>
      <c r="G427" s="19"/>
      <c r="H427" s="19"/>
      <c r="I427" s="18"/>
      <c r="J427" s="18"/>
      <c r="K427" s="18"/>
      <c r="L427" s="18"/>
      <c r="M427" s="32" t="str">
        <f>IF(OR(K427="",L427=""),"",MATCH(K427,Lists!$C$2:$C$5,0)*MATCH(L427,Lists!$D$2:$D$6,0))</f>
        <v/>
      </c>
      <c r="N427" s="32" t="str">
        <f t="shared" si="12"/>
        <v/>
      </c>
      <c r="O427" s="32" t="str">
        <f t="shared" si="13"/>
        <v/>
      </c>
      <c r="P427" s="18"/>
      <c r="Q427" s="18"/>
      <c r="R427" s="18"/>
      <c r="S427" s="18"/>
      <c r="T427" s="18"/>
      <c r="U427" s="18"/>
      <c r="V427" s="35"/>
      <c r="W427" s="19"/>
    </row>
    <row r="428" spans="1:23">
      <c r="A428" s="18"/>
      <c r="B428" s="19"/>
      <c r="C428" s="18"/>
      <c r="D428" s="19"/>
      <c r="E428" s="18"/>
      <c r="F428" s="19"/>
      <c r="G428" s="19"/>
      <c r="H428" s="19"/>
      <c r="I428" s="18"/>
      <c r="J428" s="18"/>
      <c r="K428" s="18"/>
      <c r="L428" s="18"/>
      <c r="M428" s="32" t="str">
        <f>IF(OR(K428="",L428=""),"",MATCH(K428,Lists!$C$2:$C$5,0)*MATCH(L428,Lists!$D$2:$D$6,0))</f>
        <v/>
      </c>
      <c r="N428" s="32" t="str">
        <f t="shared" si="12"/>
        <v/>
      </c>
      <c r="O428" s="32" t="str">
        <f t="shared" si="13"/>
        <v/>
      </c>
      <c r="P428" s="18"/>
      <c r="Q428" s="18"/>
      <c r="R428" s="18"/>
      <c r="S428" s="18"/>
      <c r="T428" s="18"/>
      <c r="U428" s="18"/>
      <c r="V428" s="35"/>
      <c r="W428" s="19"/>
    </row>
    <row r="429" spans="1:23">
      <c r="A429" s="18"/>
      <c r="B429" s="19"/>
      <c r="C429" s="18"/>
      <c r="D429" s="19"/>
      <c r="E429" s="18"/>
      <c r="F429" s="19"/>
      <c r="G429" s="19"/>
      <c r="H429" s="19"/>
      <c r="I429" s="18"/>
      <c r="J429" s="18"/>
      <c r="K429" s="18"/>
      <c r="L429" s="18"/>
      <c r="M429" s="32" t="str">
        <f>IF(OR(K429="",L429=""),"",MATCH(K429,Lists!$C$2:$C$5,0)*MATCH(L429,Lists!$D$2:$D$6,0))</f>
        <v/>
      </c>
      <c r="N429" s="32" t="str">
        <f t="shared" si="12"/>
        <v/>
      </c>
      <c r="O429" s="32" t="str">
        <f t="shared" si="13"/>
        <v/>
      </c>
      <c r="P429" s="18"/>
      <c r="Q429" s="18"/>
      <c r="R429" s="18"/>
      <c r="S429" s="18"/>
      <c r="T429" s="18"/>
      <c r="U429" s="18"/>
      <c r="V429" s="35"/>
      <c r="W429" s="19"/>
    </row>
    <row r="430" spans="1:23">
      <c r="A430" s="18"/>
      <c r="B430" s="19"/>
      <c r="C430" s="18"/>
      <c r="D430" s="19"/>
      <c r="E430" s="18"/>
      <c r="F430" s="19"/>
      <c r="G430" s="19"/>
      <c r="H430" s="19"/>
      <c r="I430" s="18"/>
      <c r="J430" s="18"/>
      <c r="K430" s="18"/>
      <c r="L430" s="18"/>
      <c r="M430" s="32" t="str">
        <f>IF(OR(K430="",L430=""),"",MATCH(K430,Lists!$C$2:$C$5,0)*MATCH(L430,Lists!$D$2:$D$6,0))</f>
        <v/>
      </c>
      <c r="N430" s="32" t="str">
        <f t="shared" si="12"/>
        <v/>
      </c>
      <c r="O430" s="32" t="str">
        <f t="shared" si="13"/>
        <v/>
      </c>
      <c r="P430" s="18"/>
      <c r="Q430" s="18"/>
      <c r="R430" s="18"/>
      <c r="S430" s="18"/>
      <c r="T430" s="18"/>
      <c r="U430" s="18"/>
      <c r="V430" s="35"/>
      <c r="W430" s="19"/>
    </row>
    <row r="431" spans="1:23">
      <c r="A431" s="18"/>
      <c r="B431" s="19"/>
      <c r="C431" s="18"/>
      <c r="D431" s="19"/>
      <c r="E431" s="18"/>
      <c r="F431" s="19"/>
      <c r="G431" s="19"/>
      <c r="H431" s="19"/>
      <c r="I431" s="18"/>
      <c r="J431" s="18"/>
      <c r="K431" s="18"/>
      <c r="L431" s="18"/>
      <c r="M431" s="32" t="str">
        <f>IF(OR(K431="",L431=""),"",MATCH(K431,Lists!$C$2:$C$5,0)*MATCH(L431,Lists!$D$2:$D$6,0))</f>
        <v/>
      </c>
      <c r="N431" s="32" t="str">
        <f t="shared" si="12"/>
        <v/>
      </c>
      <c r="O431" s="32" t="str">
        <f t="shared" si="13"/>
        <v/>
      </c>
      <c r="P431" s="18"/>
      <c r="Q431" s="18"/>
      <c r="R431" s="18"/>
      <c r="S431" s="18"/>
      <c r="T431" s="18"/>
      <c r="U431" s="18"/>
      <c r="V431" s="35"/>
      <c r="W431" s="19"/>
    </row>
    <row r="432" spans="1:23">
      <c r="A432" s="18"/>
      <c r="B432" s="19"/>
      <c r="C432" s="18"/>
      <c r="D432" s="19"/>
      <c r="E432" s="18"/>
      <c r="F432" s="19"/>
      <c r="G432" s="19"/>
      <c r="H432" s="19"/>
      <c r="I432" s="18"/>
      <c r="J432" s="18"/>
      <c r="K432" s="18"/>
      <c r="L432" s="18"/>
      <c r="M432" s="32" t="str">
        <f>IF(OR(K432="",L432=""),"",MATCH(K432,Lists!$C$2:$C$5,0)*MATCH(L432,Lists!$D$2:$D$6,0))</f>
        <v/>
      </c>
      <c r="N432" s="32" t="str">
        <f t="shared" si="12"/>
        <v/>
      </c>
      <c r="O432" s="32" t="str">
        <f t="shared" si="13"/>
        <v/>
      </c>
      <c r="P432" s="18"/>
      <c r="Q432" s="18"/>
      <c r="R432" s="18"/>
      <c r="S432" s="18"/>
      <c r="T432" s="18"/>
      <c r="U432" s="18"/>
      <c r="V432" s="35"/>
      <c r="W432" s="19"/>
    </row>
    <row r="433" spans="1:23">
      <c r="A433" s="18"/>
      <c r="B433" s="19"/>
      <c r="C433" s="18"/>
      <c r="D433" s="19"/>
      <c r="E433" s="18"/>
      <c r="F433" s="19"/>
      <c r="G433" s="19"/>
      <c r="H433" s="19"/>
      <c r="I433" s="18"/>
      <c r="J433" s="18"/>
      <c r="K433" s="18"/>
      <c r="L433" s="18"/>
      <c r="M433" s="32" t="str">
        <f>IF(OR(K433="",L433=""),"",MATCH(K433,Lists!$C$2:$C$5,0)*MATCH(L433,Lists!$D$2:$D$6,0))</f>
        <v/>
      </c>
      <c r="N433" s="32" t="str">
        <f t="shared" si="12"/>
        <v/>
      </c>
      <c r="O433" s="32" t="str">
        <f t="shared" si="13"/>
        <v/>
      </c>
      <c r="P433" s="18"/>
      <c r="Q433" s="18"/>
      <c r="R433" s="18"/>
      <c r="S433" s="18"/>
      <c r="T433" s="18"/>
      <c r="U433" s="18"/>
      <c r="V433" s="35"/>
      <c r="W433" s="19"/>
    </row>
    <row r="434" spans="1:23">
      <c r="A434" s="18"/>
      <c r="B434" s="19"/>
      <c r="C434" s="18"/>
      <c r="D434" s="19"/>
      <c r="E434" s="18"/>
      <c r="F434" s="19"/>
      <c r="G434" s="19"/>
      <c r="H434" s="19"/>
      <c r="I434" s="18"/>
      <c r="J434" s="18"/>
      <c r="K434" s="18"/>
      <c r="L434" s="18"/>
      <c r="M434" s="32" t="str">
        <f>IF(OR(K434="",L434=""),"",MATCH(K434,Lists!$C$2:$C$5,0)*MATCH(L434,Lists!$D$2:$D$6,0))</f>
        <v/>
      </c>
      <c r="N434" s="32" t="str">
        <f t="shared" si="12"/>
        <v/>
      </c>
      <c r="O434" s="32" t="str">
        <f t="shared" si="13"/>
        <v/>
      </c>
      <c r="P434" s="18"/>
      <c r="Q434" s="18"/>
      <c r="R434" s="18"/>
      <c r="S434" s="18"/>
      <c r="T434" s="18"/>
      <c r="U434" s="18"/>
      <c r="V434" s="35"/>
      <c r="W434" s="19"/>
    </row>
    <row r="435" spans="1:23">
      <c r="A435" s="18"/>
      <c r="B435" s="19"/>
      <c r="C435" s="18"/>
      <c r="D435" s="19"/>
      <c r="E435" s="18"/>
      <c r="F435" s="19"/>
      <c r="G435" s="19"/>
      <c r="H435" s="19"/>
      <c r="I435" s="18"/>
      <c r="J435" s="18"/>
      <c r="K435" s="18"/>
      <c r="L435" s="18"/>
      <c r="M435" s="32" t="str">
        <f>IF(OR(K435="",L435=""),"",MATCH(K435,Lists!$C$2:$C$5,0)*MATCH(L435,Lists!$D$2:$D$6,0))</f>
        <v/>
      </c>
      <c r="N435" s="32" t="str">
        <f t="shared" si="12"/>
        <v/>
      </c>
      <c r="O435" s="32" t="str">
        <f t="shared" si="13"/>
        <v/>
      </c>
      <c r="P435" s="18"/>
      <c r="Q435" s="18"/>
      <c r="R435" s="18"/>
      <c r="S435" s="18"/>
      <c r="T435" s="18"/>
      <c r="U435" s="18"/>
      <c r="V435" s="35"/>
      <c r="W435" s="19"/>
    </row>
    <row r="436" spans="1:23">
      <c r="A436" s="18"/>
      <c r="B436" s="19"/>
      <c r="C436" s="18"/>
      <c r="D436" s="19"/>
      <c r="E436" s="18"/>
      <c r="F436" s="19"/>
      <c r="G436" s="19"/>
      <c r="H436" s="19"/>
      <c r="I436" s="18"/>
      <c r="J436" s="18"/>
      <c r="K436" s="18"/>
      <c r="L436" s="18"/>
      <c r="M436" s="32" t="str">
        <f>IF(OR(K436="",L436=""),"",MATCH(K436,Lists!$C$2:$C$5,0)*MATCH(L436,Lists!$D$2:$D$6,0))</f>
        <v/>
      </c>
      <c r="N436" s="32" t="str">
        <f t="shared" si="12"/>
        <v/>
      </c>
      <c r="O436" s="32" t="str">
        <f t="shared" si="13"/>
        <v/>
      </c>
      <c r="P436" s="18"/>
      <c r="Q436" s="18"/>
      <c r="R436" s="18"/>
      <c r="S436" s="18"/>
      <c r="T436" s="18"/>
      <c r="U436" s="18"/>
      <c r="V436" s="35"/>
      <c r="W436" s="19"/>
    </row>
    <row r="437" spans="1:23">
      <c r="A437" s="18"/>
      <c r="B437" s="19"/>
      <c r="C437" s="18"/>
      <c r="D437" s="19"/>
      <c r="E437" s="18"/>
      <c r="F437" s="19"/>
      <c r="G437" s="19"/>
      <c r="H437" s="19"/>
      <c r="I437" s="18"/>
      <c r="J437" s="18"/>
      <c r="K437" s="18"/>
      <c r="L437" s="18"/>
      <c r="M437" s="32" t="str">
        <f>IF(OR(K437="",L437=""),"",MATCH(K437,Lists!$C$2:$C$5,0)*MATCH(L437,Lists!$D$2:$D$6,0))</f>
        <v/>
      </c>
      <c r="N437" s="32" t="str">
        <f t="shared" si="12"/>
        <v/>
      </c>
      <c r="O437" s="32" t="str">
        <f t="shared" si="13"/>
        <v/>
      </c>
      <c r="P437" s="18"/>
      <c r="Q437" s="18"/>
      <c r="R437" s="18"/>
      <c r="S437" s="18"/>
      <c r="T437" s="18"/>
      <c r="U437" s="18"/>
      <c r="V437" s="35"/>
      <c r="W437" s="19"/>
    </row>
    <row r="438" spans="1:23">
      <c r="A438" s="18"/>
      <c r="B438" s="19"/>
      <c r="C438" s="18"/>
      <c r="D438" s="19"/>
      <c r="E438" s="18"/>
      <c r="F438" s="19"/>
      <c r="G438" s="19"/>
      <c r="H438" s="19"/>
      <c r="I438" s="18"/>
      <c r="J438" s="18"/>
      <c r="K438" s="18"/>
      <c r="L438" s="18"/>
      <c r="M438" s="32" t="str">
        <f>IF(OR(K438="",L438=""),"",MATCH(K438,Lists!$C$2:$C$5,0)*MATCH(L438,Lists!$D$2:$D$6,0))</f>
        <v/>
      </c>
      <c r="N438" s="32" t="str">
        <f t="shared" si="12"/>
        <v/>
      </c>
      <c r="O438" s="32" t="str">
        <f t="shared" si="13"/>
        <v/>
      </c>
      <c r="P438" s="18"/>
      <c r="Q438" s="18"/>
      <c r="R438" s="18"/>
      <c r="S438" s="18"/>
      <c r="T438" s="18"/>
      <c r="U438" s="18"/>
      <c r="V438" s="35"/>
      <c r="W438" s="19"/>
    </row>
    <row r="439" spans="1:23">
      <c r="A439" s="18"/>
      <c r="B439" s="19"/>
      <c r="C439" s="18"/>
      <c r="D439" s="19"/>
      <c r="E439" s="18"/>
      <c r="F439" s="19"/>
      <c r="G439" s="19"/>
      <c r="H439" s="19"/>
      <c r="I439" s="18"/>
      <c r="J439" s="18"/>
      <c r="K439" s="18"/>
      <c r="L439" s="18"/>
      <c r="M439" s="32" t="str">
        <f>IF(OR(K439="",L439=""),"",MATCH(K439,Lists!$C$2:$C$5,0)*MATCH(L439,Lists!$D$2:$D$6,0))</f>
        <v/>
      </c>
      <c r="N439" s="32" t="str">
        <f t="shared" si="12"/>
        <v/>
      </c>
      <c r="O439" s="32" t="str">
        <f t="shared" si="13"/>
        <v/>
      </c>
      <c r="P439" s="18"/>
      <c r="Q439" s="18"/>
      <c r="R439" s="18"/>
      <c r="S439" s="18"/>
      <c r="T439" s="18"/>
      <c r="U439" s="18"/>
      <c r="V439" s="35"/>
      <c r="W439" s="19"/>
    </row>
    <row r="440" spans="1:23">
      <c r="A440" s="18"/>
      <c r="B440" s="19"/>
      <c r="C440" s="18"/>
      <c r="D440" s="19"/>
      <c r="E440" s="18"/>
      <c r="F440" s="19"/>
      <c r="G440" s="19"/>
      <c r="H440" s="19"/>
      <c r="I440" s="18"/>
      <c r="J440" s="18"/>
      <c r="K440" s="18"/>
      <c r="L440" s="18"/>
      <c r="M440" s="32" t="str">
        <f>IF(OR(K440="",L440=""),"",MATCH(K440,Lists!$C$2:$C$5,0)*MATCH(L440,Lists!$D$2:$D$6,0))</f>
        <v/>
      </c>
      <c r="N440" s="32" t="str">
        <f t="shared" si="12"/>
        <v/>
      </c>
      <c r="O440" s="32" t="str">
        <f t="shared" si="13"/>
        <v/>
      </c>
      <c r="P440" s="18"/>
      <c r="Q440" s="18"/>
      <c r="R440" s="18"/>
      <c r="S440" s="18"/>
      <c r="T440" s="18"/>
      <c r="U440" s="18"/>
      <c r="V440" s="35"/>
      <c r="W440" s="19"/>
    </row>
    <row r="441" spans="1:23">
      <c r="A441" s="18"/>
      <c r="B441" s="19"/>
      <c r="C441" s="18"/>
      <c r="D441" s="19"/>
      <c r="E441" s="18"/>
      <c r="F441" s="19"/>
      <c r="G441" s="19"/>
      <c r="H441" s="19"/>
      <c r="I441" s="18"/>
      <c r="J441" s="18"/>
      <c r="K441" s="18"/>
      <c r="L441" s="18"/>
      <c r="M441" s="32" t="str">
        <f>IF(OR(K441="",L441=""),"",MATCH(K441,Lists!$C$2:$C$5,0)*MATCH(L441,Lists!$D$2:$D$6,0))</f>
        <v/>
      </c>
      <c r="N441" s="32" t="str">
        <f t="shared" si="12"/>
        <v/>
      </c>
      <c r="O441" s="32" t="str">
        <f t="shared" si="13"/>
        <v/>
      </c>
      <c r="P441" s="18"/>
      <c r="Q441" s="18"/>
      <c r="R441" s="18"/>
      <c r="S441" s="18"/>
      <c r="T441" s="18"/>
      <c r="U441" s="18"/>
      <c r="V441" s="35"/>
      <c r="W441" s="19"/>
    </row>
    <row r="442" spans="1:23">
      <c r="A442" s="18"/>
      <c r="B442" s="19"/>
      <c r="C442" s="18"/>
      <c r="D442" s="19"/>
      <c r="E442" s="18"/>
      <c r="F442" s="19"/>
      <c r="G442" s="19"/>
      <c r="H442" s="19"/>
      <c r="I442" s="18"/>
      <c r="J442" s="18"/>
      <c r="K442" s="18"/>
      <c r="L442" s="18"/>
      <c r="M442" s="32" t="str">
        <f>IF(OR(K442="",L442=""),"",MATCH(K442,Lists!$C$2:$C$5,0)*MATCH(L442,Lists!$D$2:$D$6,0))</f>
        <v/>
      </c>
      <c r="N442" s="32" t="str">
        <f t="shared" si="12"/>
        <v/>
      </c>
      <c r="O442" s="32" t="str">
        <f t="shared" si="13"/>
        <v/>
      </c>
      <c r="P442" s="18"/>
      <c r="Q442" s="18"/>
      <c r="R442" s="18"/>
      <c r="S442" s="18"/>
      <c r="T442" s="18"/>
      <c r="U442" s="18"/>
      <c r="V442" s="35"/>
      <c r="W442" s="19"/>
    </row>
    <row r="443" spans="1:23">
      <c r="A443" s="18"/>
      <c r="B443" s="19"/>
      <c r="C443" s="18"/>
      <c r="D443" s="19"/>
      <c r="E443" s="18"/>
      <c r="F443" s="19"/>
      <c r="G443" s="19"/>
      <c r="H443" s="19"/>
      <c r="I443" s="18"/>
      <c r="J443" s="18"/>
      <c r="K443" s="18"/>
      <c r="L443" s="18"/>
      <c r="M443" s="32" t="str">
        <f>IF(OR(K443="",L443=""),"",MATCH(K443,Lists!$C$2:$C$5,0)*MATCH(L443,Lists!$D$2:$D$6,0))</f>
        <v/>
      </c>
      <c r="N443" s="32" t="str">
        <f t="shared" si="12"/>
        <v/>
      </c>
      <c r="O443" s="32" t="str">
        <f t="shared" si="13"/>
        <v/>
      </c>
      <c r="P443" s="18"/>
      <c r="Q443" s="18"/>
      <c r="R443" s="18"/>
      <c r="S443" s="18"/>
      <c r="T443" s="18"/>
      <c r="U443" s="18"/>
      <c r="V443" s="35"/>
      <c r="W443" s="19"/>
    </row>
    <row r="444" spans="1:23">
      <c r="A444" s="18"/>
      <c r="B444" s="19"/>
      <c r="C444" s="18"/>
      <c r="D444" s="19"/>
      <c r="E444" s="18"/>
      <c r="F444" s="19"/>
      <c r="G444" s="19"/>
      <c r="H444" s="19"/>
      <c r="I444" s="18"/>
      <c r="J444" s="18"/>
      <c r="K444" s="18"/>
      <c r="L444" s="18"/>
      <c r="M444" s="32" t="str">
        <f>IF(OR(K444="",L444=""),"",MATCH(K444,Lists!$C$2:$C$5,0)*MATCH(L444,Lists!$D$2:$D$6,0))</f>
        <v/>
      </c>
      <c r="N444" s="32" t="str">
        <f t="shared" si="12"/>
        <v/>
      </c>
      <c r="O444" s="32" t="str">
        <f t="shared" si="13"/>
        <v/>
      </c>
      <c r="P444" s="18"/>
      <c r="Q444" s="18"/>
      <c r="R444" s="18"/>
      <c r="S444" s="18"/>
      <c r="T444" s="18"/>
      <c r="U444" s="18"/>
      <c r="V444" s="35"/>
      <c r="W444" s="19"/>
    </row>
    <row r="445" spans="1:23">
      <c r="A445" s="18"/>
      <c r="B445" s="19"/>
      <c r="C445" s="18"/>
      <c r="D445" s="19"/>
      <c r="E445" s="18"/>
      <c r="F445" s="19"/>
      <c r="G445" s="19"/>
      <c r="H445" s="19"/>
      <c r="I445" s="18"/>
      <c r="J445" s="18"/>
      <c r="K445" s="18"/>
      <c r="L445" s="18"/>
      <c r="M445" s="32" t="str">
        <f>IF(OR(K445="",L445=""),"",MATCH(K445,Lists!$C$2:$C$5,0)*MATCH(L445,Lists!$D$2:$D$6,0))</f>
        <v/>
      </c>
      <c r="N445" s="32" t="str">
        <f t="shared" si="12"/>
        <v/>
      </c>
      <c r="O445" s="32" t="str">
        <f t="shared" si="13"/>
        <v/>
      </c>
      <c r="P445" s="18"/>
      <c r="Q445" s="18"/>
      <c r="R445" s="18"/>
      <c r="S445" s="18"/>
      <c r="T445" s="18"/>
      <c r="U445" s="18"/>
      <c r="V445" s="35"/>
      <c r="W445" s="19"/>
    </row>
    <row r="446" spans="1:23">
      <c r="A446" s="18"/>
      <c r="B446" s="19"/>
      <c r="C446" s="18"/>
      <c r="D446" s="19"/>
      <c r="E446" s="18"/>
      <c r="F446" s="19"/>
      <c r="G446" s="19"/>
      <c r="H446" s="19"/>
      <c r="I446" s="18"/>
      <c r="J446" s="18"/>
      <c r="K446" s="18"/>
      <c r="L446" s="18"/>
      <c r="M446" s="32" t="str">
        <f>IF(OR(K446="",L446=""),"",MATCH(K446,Lists!$C$2:$C$5,0)*MATCH(L446,Lists!$D$2:$D$6,0))</f>
        <v/>
      </c>
      <c r="N446" s="32" t="str">
        <f t="shared" si="12"/>
        <v/>
      </c>
      <c r="O446" s="32" t="str">
        <f t="shared" si="13"/>
        <v/>
      </c>
      <c r="P446" s="18"/>
      <c r="Q446" s="18"/>
      <c r="R446" s="18"/>
      <c r="S446" s="18"/>
      <c r="T446" s="18"/>
      <c r="U446" s="18"/>
      <c r="V446" s="35"/>
      <c r="W446" s="19"/>
    </row>
    <row r="447" spans="1:23">
      <c r="A447" s="18"/>
      <c r="B447" s="19"/>
      <c r="C447" s="18"/>
      <c r="D447" s="19"/>
      <c r="E447" s="18"/>
      <c r="F447" s="19"/>
      <c r="G447" s="19"/>
      <c r="H447" s="19"/>
      <c r="I447" s="18"/>
      <c r="J447" s="18"/>
      <c r="K447" s="18"/>
      <c r="L447" s="18"/>
      <c r="M447" s="32" t="str">
        <f>IF(OR(K447="",L447=""),"",MATCH(K447,Lists!$C$2:$C$5,0)*MATCH(L447,Lists!$D$2:$D$6,0))</f>
        <v/>
      </c>
      <c r="N447" s="32" t="str">
        <f t="shared" si="12"/>
        <v/>
      </c>
      <c r="O447" s="32" t="str">
        <f t="shared" si="13"/>
        <v/>
      </c>
      <c r="P447" s="18"/>
      <c r="Q447" s="18"/>
      <c r="R447" s="18"/>
      <c r="S447" s="18"/>
      <c r="T447" s="18"/>
      <c r="U447" s="18"/>
      <c r="V447" s="35"/>
      <c r="W447" s="19"/>
    </row>
    <row r="448" spans="1:23">
      <c r="A448" s="18"/>
      <c r="B448" s="19"/>
      <c r="C448" s="18"/>
      <c r="D448" s="19"/>
      <c r="E448" s="18"/>
      <c r="F448" s="19"/>
      <c r="G448" s="19"/>
      <c r="H448" s="19"/>
      <c r="I448" s="18"/>
      <c r="J448" s="18"/>
      <c r="K448" s="18"/>
      <c r="L448" s="18"/>
      <c r="M448" s="32" t="str">
        <f>IF(OR(K448="",L448=""),"",MATCH(K448,Lists!$C$2:$C$5,0)*MATCH(L448,Lists!$D$2:$D$6,0))</f>
        <v/>
      </c>
      <c r="N448" s="32" t="str">
        <f t="shared" si="12"/>
        <v/>
      </c>
      <c r="O448" s="32" t="str">
        <f t="shared" si="13"/>
        <v/>
      </c>
      <c r="P448" s="18"/>
      <c r="Q448" s="18"/>
      <c r="R448" s="18"/>
      <c r="S448" s="18"/>
      <c r="T448" s="18"/>
      <c r="U448" s="18"/>
      <c r="V448" s="35"/>
      <c r="W448" s="19"/>
    </row>
    <row r="449" spans="1:23">
      <c r="A449" s="18"/>
      <c r="B449" s="19"/>
      <c r="C449" s="18"/>
      <c r="D449" s="19"/>
      <c r="E449" s="18"/>
      <c r="F449" s="19"/>
      <c r="G449" s="19"/>
      <c r="H449" s="19"/>
      <c r="I449" s="18"/>
      <c r="J449" s="18"/>
      <c r="K449" s="18"/>
      <c r="L449" s="18"/>
      <c r="M449" s="32" t="str">
        <f>IF(OR(K449="",L449=""),"",MATCH(K449,Lists!$C$2:$C$5,0)*MATCH(L449,Lists!$D$2:$D$6,0))</f>
        <v/>
      </c>
      <c r="N449" s="32" t="str">
        <f t="shared" si="12"/>
        <v/>
      </c>
      <c r="O449" s="32" t="str">
        <f t="shared" si="13"/>
        <v/>
      </c>
      <c r="P449" s="18"/>
      <c r="Q449" s="18"/>
      <c r="R449" s="18"/>
      <c r="S449" s="18"/>
      <c r="T449" s="18"/>
      <c r="U449" s="18"/>
      <c r="V449" s="35"/>
      <c r="W449" s="19"/>
    </row>
    <row r="450" spans="1:23">
      <c r="A450" s="18"/>
      <c r="B450" s="19"/>
      <c r="C450" s="18"/>
      <c r="D450" s="19"/>
      <c r="E450" s="18"/>
      <c r="F450" s="19"/>
      <c r="G450" s="19"/>
      <c r="H450" s="19"/>
      <c r="I450" s="18"/>
      <c r="J450" s="18"/>
      <c r="K450" s="18"/>
      <c r="L450" s="18"/>
      <c r="M450" s="32" t="str">
        <f>IF(OR(K450="",L450=""),"",MATCH(K450,Lists!$C$2:$C$5,0)*MATCH(L450,Lists!$D$2:$D$6,0))</f>
        <v/>
      </c>
      <c r="N450" s="32" t="str">
        <f t="shared" ref="N450:N501" si="14">IF(M450="","",IF(M450&gt;=12,"Critical",IF(M450&gt;=8,"High",IF(M450&gt;=4,"Medium","Low"))))</f>
        <v/>
      </c>
      <c r="O450" s="32" t="str">
        <f t="shared" ref="O450:O501" si="15">IF(N450="","",IF(N450="Critical","P1",IF(N450="High","P2",IF(N450="Medium","P3","P4"))))</f>
        <v/>
      </c>
      <c r="P450" s="18"/>
      <c r="Q450" s="18"/>
      <c r="R450" s="18"/>
      <c r="S450" s="18"/>
      <c r="T450" s="18"/>
      <c r="U450" s="18"/>
      <c r="V450" s="35"/>
      <c r="W450" s="19"/>
    </row>
    <row r="451" spans="1:23">
      <c r="A451" s="18"/>
      <c r="B451" s="19"/>
      <c r="C451" s="18"/>
      <c r="D451" s="19"/>
      <c r="E451" s="18"/>
      <c r="F451" s="19"/>
      <c r="G451" s="19"/>
      <c r="H451" s="19"/>
      <c r="I451" s="18"/>
      <c r="J451" s="18"/>
      <c r="K451" s="18"/>
      <c r="L451" s="18"/>
      <c r="M451" s="32" t="str">
        <f>IF(OR(K451="",L451=""),"",MATCH(K451,Lists!$C$2:$C$5,0)*MATCH(L451,Lists!$D$2:$D$6,0))</f>
        <v/>
      </c>
      <c r="N451" s="32" t="str">
        <f t="shared" si="14"/>
        <v/>
      </c>
      <c r="O451" s="32" t="str">
        <f t="shared" si="15"/>
        <v/>
      </c>
      <c r="P451" s="18"/>
      <c r="Q451" s="18"/>
      <c r="R451" s="18"/>
      <c r="S451" s="18"/>
      <c r="T451" s="18"/>
      <c r="U451" s="18"/>
      <c r="V451" s="35"/>
      <c r="W451" s="19"/>
    </row>
    <row r="452" spans="1:23">
      <c r="A452" s="18"/>
      <c r="B452" s="19"/>
      <c r="C452" s="18"/>
      <c r="D452" s="19"/>
      <c r="E452" s="18"/>
      <c r="F452" s="19"/>
      <c r="G452" s="19"/>
      <c r="H452" s="19"/>
      <c r="I452" s="18"/>
      <c r="J452" s="18"/>
      <c r="K452" s="18"/>
      <c r="L452" s="18"/>
      <c r="M452" s="32" t="str">
        <f>IF(OR(K452="",L452=""),"",MATCH(K452,Lists!$C$2:$C$5,0)*MATCH(L452,Lists!$D$2:$D$6,0))</f>
        <v/>
      </c>
      <c r="N452" s="32" t="str">
        <f t="shared" si="14"/>
        <v/>
      </c>
      <c r="O452" s="32" t="str">
        <f t="shared" si="15"/>
        <v/>
      </c>
      <c r="P452" s="18"/>
      <c r="Q452" s="18"/>
      <c r="R452" s="18"/>
      <c r="S452" s="18"/>
      <c r="T452" s="18"/>
      <c r="U452" s="18"/>
      <c r="V452" s="35"/>
      <c r="W452" s="19"/>
    </row>
    <row r="453" spans="1:23">
      <c r="A453" s="18"/>
      <c r="B453" s="19"/>
      <c r="C453" s="18"/>
      <c r="D453" s="19"/>
      <c r="E453" s="18"/>
      <c r="F453" s="19"/>
      <c r="G453" s="19"/>
      <c r="H453" s="19"/>
      <c r="I453" s="18"/>
      <c r="J453" s="18"/>
      <c r="K453" s="18"/>
      <c r="L453" s="18"/>
      <c r="M453" s="32" t="str">
        <f>IF(OR(K453="",L453=""),"",MATCH(K453,Lists!$C$2:$C$5,0)*MATCH(L453,Lists!$D$2:$D$6,0))</f>
        <v/>
      </c>
      <c r="N453" s="32" t="str">
        <f t="shared" si="14"/>
        <v/>
      </c>
      <c r="O453" s="32" t="str">
        <f t="shared" si="15"/>
        <v/>
      </c>
      <c r="P453" s="18"/>
      <c r="Q453" s="18"/>
      <c r="R453" s="18"/>
      <c r="S453" s="18"/>
      <c r="T453" s="18"/>
      <c r="U453" s="18"/>
      <c r="V453" s="35"/>
      <c r="W453" s="19"/>
    </row>
    <row r="454" spans="1:23">
      <c r="A454" s="18"/>
      <c r="B454" s="19"/>
      <c r="C454" s="18"/>
      <c r="D454" s="19"/>
      <c r="E454" s="18"/>
      <c r="F454" s="19"/>
      <c r="G454" s="19"/>
      <c r="H454" s="19"/>
      <c r="I454" s="18"/>
      <c r="J454" s="18"/>
      <c r="K454" s="18"/>
      <c r="L454" s="18"/>
      <c r="M454" s="32" t="str">
        <f>IF(OR(K454="",L454=""),"",MATCH(K454,Lists!$C$2:$C$5,0)*MATCH(L454,Lists!$D$2:$D$6,0))</f>
        <v/>
      </c>
      <c r="N454" s="32" t="str">
        <f t="shared" si="14"/>
        <v/>
      </c>
      <c r="O454" s="32" t="str">
        <f t="shared" si="15"/>
        <v/>
      </c>
      <c r="P454" s="18"/>
      <c r="Q454" s="18"/>
      <c r="R454" s="18"/>
      <c r="S454" s="18"/>
      <c r="T454" s="18"/>
      <c r="U454" s="18"/>
      <c r="V454" s="35"/>
      <c r="W454" s="19"/>
    </row>
    <row r="455" spans="1:23">
      <c r="A455" s="18"/>
      <c r="B455" s="19"/>
      <c r="C455" s="18"/>
      <c r="D455" s="19"/>
      <c r="E455" s="18"/>
      <c r="F455" s="19"/>
      <c r="G455" s="19"/>
      <c r="H455" s="19"/>
      <c r="I455" s="18"/>
      <c r="J455" s="18"/>
      <c r="K455" s="18"/>
      <c r="L455" s="18"/>
      <c r="M455" s="32" t="str">
        <f>IF(OR(K455="",L455=""),"",MATCH(K455,Lists!$C$2:$C$5,0)*MATCH(L455,Lists!$D$2:$D$6,0))</f>
        <v/>
      </c>
      <c r="N455" s="32" t="str">
        <f t="shared" si="14"/>
        <v/>
      </c>
      <c r="O455" s="32" t="str">
        <f t="shared" si="15"/>
        <v/>
      </c>
      <c r="P455" s="18"/>
      <c r="Q455" s="18"/>
      <c r="R455" s="18"/>
      <c r="S455" s="18"/>
      <c r="T455" s="18"/>
      <c r="U455" s="18"/>
      <c r="V455" s="35"/>
      <c r="W455" s="19"/>
    </row>
    <row r="456" spans="1:23">
      <c r="A456" s="18"/>
      <c r="B456" s="19"/>
      <c r="C456" s="18"/>
      <c r="D456" s="19"/>
      <c r="E456" s="18"/>
      <c r="F456" s="19"/>
      <c r="G456" s="19"/>
      <c r="H456" s="19"/>
      <c r="I456" s="18"/>
      <c r="J456" s="18"/>
      <c r="K456" s="18"/>
      <c r="L456" s="18"/>
      <c r="M456" s="32" t="str">
        <f>IF(OR(K456="",L456=""),"",MATCH(K456,Lists!$C$2:$C$5,0)*MATCH(L456,Lists!$D$2:$D$6,0))</f>
        <v/>
      </c>
      <c r="N456" s="32" t="str">
        <f t="shared" si="14"/>
        <v/>
      </c>
      <c r="O456" s="32" t="str">
        <f t="shared" si="15"/>
        <v/>
      </c>
      <c r="P456" s="18"/>
      <c r="Q456" s="18"/>
      <c r="R456" s="18"/>
      <c r="S456" s="18"/>
      <c r="T456" s="18"/>
      <c r="U456" s="18"/>
      <c r="V456" s="35"/>
      <c r="W456" s="19"/>
    </row>
    <row r="457" spans="1:23">
      <c r="A457" s="18"/>
      <c r="B457" s="19"/>
      <c r="C457" s="18"/>
      <c r="D457" s="19"/>
      <c r="E457" s="18"/>
      <c r="F457" s="19"/>
      <c r="G457" s="19"/>
      <c r="H457" s="19"/>
      <c r="I457" s="18"/>
      <c r="J457" s="18"/>
      <c r="K457" s="18"/>
      <c r="L457" s="18"/>
      <c r="M457" s="32" t="str">
        <f>IF(OR(K457="",L457=""),"",MATCH(K457,Lists!$C$2:$C$5,0)*MATCH(L457,Lists!$D$2:$D$6,0))</f>
        <v/>
      </c>
      <c r="N457" s="32" t="str">
        <f t="shared" si="14"/>
        <v/>
      </c>
      <c r="O457" s="32" t="str">
        <f t="shared" si="15"/>
        <v/>
      </c>
      <c r="P457" s="18"/>
      <c r="Q457" s="18"/>
      <c r="R457" s="18"/>
      <c r="S457" s="18"/>
      <c r="T457" s="18"/>
      <c r="U457" s="18"/>
      <c r="V457" s="35"/>
      <c r="W457" s="19"/>
    </row>
    <row r="458" spans="1:23">
      <c r="A458" s="18"/>
      <c r="B458" s="19"/>
      <c r="C458" s="18"/>
      <c r="D458" s="19"/>
      <c r="E458" s="18"/>
      <c r="F458" s="19"/>
      <c r="G458" s="19"/>
      <c r="H458" s="19"/>
      <c r="I458" s="18"/>
      <c r="J458" s="18"/>
      <c r="K458" s="18"/>
      <c r="L458" s="18"/>
      <c r="M458" s="32" t="str">
        <f>IF(OR(K458="",L458=""),"",MATCH(K458,Lists!$C$2:$C$5,0)*MATCH(L458,Lists!$D$2:$D$6,0))</f>
        <v/>
      </c>
      <c r="N458" s="32" t="str">
        <f t="shared" si="14"/>
        <v/>
      </c>
      <c r="O458" s="32" t="str">
        <f t="shared" si="15"/>
        <v/>
      </c>
      <c r="P458" s="18"/>
      <c r="Q458" s="18"/>
      <c r="R458" s="18"/>
      <c r="S458" s="18"/>
      <c r="T458" s="18"/>
      <c r="U458" s="18"/>
      <c r="V458" s="35"/>
      <c r="W458" s="19"/>
    </row>
    <row r="459" spans="1:23">
      <c r="A459" s="18"/>
      <c r="B459" s="19"/>
      <c r="C459" s="18"/>
      <c r="D459" s="19"/>
      <c r="E459" s="18"/>
      <c r="F459" s="19"/>
      <c r="G459" s="19"/>
      <c r="H459" s="19"/>
      <c r="I459" s="18"/>
      <c r="J459" s="18"/>
      <c r="K459" s="18"/>
      <c r="L459" s="18"/>
      <c r="M459" s="32" t="str">
        <f>IF(OR(K459="",L459=""),"",MATCH(K459,Lists!$C$2:$C$5,0)*MATCH(L459,Lists!$D$2:$D$6,0))</f>
        <v/>
      </c>
      <c r="N459" s="32" t="str">
        <f t="shared" si="14"/>
        <v/>
      </c>
      <c r="O459" s="32" t="str">
        <f t="shared" si="15"/>
        <v/>
      </c>
      <c r="P459" s="18"/>
      <c r="Q459" s="18"/>
      <c r="R459" s="18"/>
      <c r="S459" s="18"/>
      <c r="T459" s="18"/>
      <c r="U459" s="18"/>
      <c r="V459" s="35"/>
      <c r="W459" s="19"/>
    </row>
    <row r="460" spans="1:23">
      <c r="A460" s="18"/>
      <c r="B460" s="19"/>
      <c r="C460" s="18"/>
      <c r="D460" s="19"/>
      <c r="E460" s="18"/>
      <c r="F460" s="19"/>
      <c r="G460" s="19"/>
      <c r="H460" s="19"/>
      <c r="I460" s="18"/>
      <c r="J460" s="18"/>
      <c r="K460" s="18"/>
      <c r="L460" s="18"/>
      <c r="M460" s="32" t="str">
        <f>IF(OR(K460="",L460=""),"",MATCH(K460,Lists!$C$2:$C$5,0)*MATCH(L460,Lists!$D$2:$D$6,0))</f>
        <v/>
      </c>
      <c r="N460" s="32" t="str">
        <f t="shared" si="14"/>
        <v/>
      </c>
      <c r="O460" s="32" t="str">
        <f t="shared" si="15"/>
        <v/>
      </c>
      <c r="P460" s="18"/>
      <c r="Q460" s="18"/>
      <c r="R460" s="18"/>
      <c r="S460" s="18"/>
      <c r="T460" s="18"/>
      <c r="U460" s="18"/>
      <c r="V460" s="35"/>
      <c r="W460" s="19"/>
    </row>
    <row r="461" spans="1:23">
      <c r="A461" s="18"/>
      <c r="B461" s="19"/>
      <c r="C461" s="18"/>
      <c r="D461" s="19"/>
      <c r="E461" s="18"/>
      <c r="F461" s="19"/>
      <c r="G461" s="19"/>
      <c r="H461" s="19"/>
      <c r="I461" s="18"/>
      <c r="J461" s="18"/>
      <c r="K461" s="18"/>
      <c r="L461" s="18"/>
      <c r="M461" s="32" t="str">
        <f>IF(OR(K461="",L461=""),"",MATCH(K461,Lists!$C$2:$C$5,0)*MATCH(L461,Lists!$D$2:$D$6,0))</f>
        <v/>
      </c>
      <c r="N461" s="32" t="str">
        <f t="shared" si="14"/>
        <v/>
      </c>
      <c r="O461" s="32" t="str">
        <f t="shared" si="15"/>
        <v/>
      </c>
      <c r="P461" s="18"/>
      <c r="Q461" s="18"/>
      <c r="R461" s="18"/>
      <c r="S461" s="18"/>
      <c r="T461" s="18"/>
      <c r="U461" s="18"/>
      <c r="V461" s="35"/>
      <c r="W461" s="19"/>
    </row>
    <row r="462" spans="1:23">
      <c r="A462" s="18"/>
      <c r="B462" s="19"/>
      <c r="C462" s="18"/>
      <c r="D462" s="19"/>
      <c r="E462" s="18"/>
      <c r="F462" s="19"/>
      <c r="G462" s="19"/>
      <c r="H462" s="19"/>
      <c r="I462" s="18"/>
      <c r="J462" s="18"/>
      <c r="K462" s="18"/>
      <c r="L462" s="18"/>
      <c r="M462" s="32" t="str">
        <f>IF(OR(K462="",L462=""),"",MATCH(K462,Lists!$C$2:$C$5,0)*MATCH(L462,Lists!$D$2:$D$6,0))</f>
        <v/>
      </c>
      <c r="N462" s="32" t="str">
        <f t="shared" si="14"/>
        <v/>
      </c>
      <c r="O462" s="32" t="str">
        <f t="shared" si="15"/>
        <v/>
      </c>
      <c r="P462" s="18"/>
      <c r="Q462" s="18"/>
      <c r="R462" s="18"/>
      <c r="S462" s="18"/>
      <c r="T462" s="18"/>
      <c r="U462" s="18"/>
      <c r="V462" s="35"/>
      <c r="W462" s="19"/>
    </row>
    <row r="463" spans="1:23">
      <c r="A463" s="18"/>
      <c r="B463" s="19"/>
      <c r="C463" s="18"/>
      <c r="D463" s="19"/>
      <c r="E463" s="18"/>
      <c r="F463" s="19"/>
      <c r="G463" s="19"/>
      <c r="H463" s="19"/>
      <c r="I463" s="18"/>
      <c r="J463" s="18"/>
      <c r="K463" s="18"/>
      <c r="L463" s="18"/>
      <c r="M463" s="32" t="str">
        <f>IF(OR(K463="",L463=""),"",MATCH(K463,Lists!$C$2:$C$5,0)*MATCH(L463,Lists!$D$2:$D$6,0))</f>
        <v/>
      </c>
      <c r="N463" s="32" t="str">
        <f t="shared" si="14"/>
        <v/>
      </c>
      <c r="O463" s="32" t="str">
        <f t="shared" si="15"/>
        <v/>
      </c>
      <c r="P463" s="18"/>
      <c r="Q463" s="18"/>
      <c r="R463" s="18"/>
      <c r="S463" s="18"/>
      <c r="T463" s="18"/>
      <c r="U463" s="18"/>
      <c r="V463" s="35"/>
      <c r="W463" s="19"/>
    </row>
    <row r="464" spans="1:23">
      <c r="A464" s="18"/>
      <c r="B464" s="19"/>
      <c r="C464" s="18"/>
      <c r="D464" s="19"/>
      <c r="E464" s="18"/>
      <c r="F464" s="19"/>
      <c r="G464" s="19"/>
      <c r="H464" s="19"/>
      <c r="I464" s="18"/>
      <c r="J464" s="18"/>
      <c r="K464" s="18"/>
      <c r="L464" s="18"/>
      <c r="M464" s="32" t="str">
        <f>IF(OR(K464="",L464=""),"",MATCH(K464,Lists!$C$2:$C$5,0)*MATCH(L464,Lists!$D$2:$D$6,0))</f>
        <v/>
      </c>
      <c r="N464" s="32" t="str">
        <f t="shared" si="14"/>
        <v/>
      </c>
      <c r="O464" s="32" t="str">
        <f t="shared" si="15"/>
        <v/>
      </c>
      <c r="P464" s="18"/>
      <c r="Q464" s="18"/>
      <c r="R464" s="18"/>
      <c r="S464" s="18"/>
      <c r="T464" s="18"/>
      <c r="U464" s="18"/>
      <c r="V464" s="35"/>
      <c r="W464" s="19"/>
    </row>
    <row r="465" spans="1:23">
      <c r="A465" s="18"/>
      <c r="B465" s="19"/>
      <c r="C465" s="18"/>
      <c r="D465" s="19"/>
      <c r="E465" s="18"/>
      <c r="F465" s="19"/>
      <c r="G465" s="19"/>
      <c r="H465" s="19"/>
      <c r="I465" s="18"/>
      <c r="J465" s="18"/>
      <c r="K465" s="18"/>
      <c r="L465" s="18"/>
      <c r="M465" s="32" t="str">
        <f>IF(OR(K465="",L465=""),"",MATCH(K465,Lists!$C$2:$C$5,0)*MATCH(L465,Lists!$D$2:$D$6,0))</f>
        <v/>
      </c>
      <c r="N465" s="32" t="str">
        <f t="shared" si="14"/>
        <v/>
      </c>
      <c r="O465" s="32" t="str">
        <f t="shared" si="15"/>
        <v/>
      </c>
      <c r="P465" s="18"/>
      <c r="Q465" s="18"/>
      <c r="R465" s="18"/>
      <c r="S465" s="18"/>
      <c r="T465" s="18"/>
      <c r="U465" s="18"/>
      <c r="V465" s="35"/>
      <c r="W465" s="19"/>
    </row>
    <row r="466" spans="1:23">
      <c r="A466" s="18"/>
      <c r="B466" s="19"/>
      <c r="C466" s="18"/>
      <c r="D466" s="19"/>
      <c r="E466" s="18"/>
      <c r="F466" s="19"/>
      <c r="G466" s="19"/>
      <c r="H466" s="19"/>
      <c r="I466" s="18"/>
      <c r="J466" s="18"/>
      <c r="K466" s="18"/>
      <c r="L466" s="18"/>
      <c r="M466" s="32" t="str">
        <f>IF(OR(K466="",L466=""),"",MATCH(K466,Lists!$C$2:$C$5,0)*MATCH(L466,Lists!$D$2:$D$6,0))</f>
        <v/>
      </c>
      <c r="N466" s="32" t="str">
        <f t="shared" si="14"/>
        <v/>
      </c>
      <c r="O466" s="32" t="str">
        <f t="shared" si="15"/>
        <v/>
      </c>
      <c r="P466" s="18"/>
      <c r="Q466" s="18"/>
      <c r="R466" s="18"/>
      <c r="S466" s="18"/>
      <c r="T466" s="18"/>
      <c r="U466" s="18"/>
      <c r="V466" s="35"/>
      <c r="W466" s="19"/>
    </row>
    <row r="467" spans="1:23">
      <c r="A467" s="18"/>
      <c r="B467" s="19"/>
      <c r="C467" s="18"/>
      <c r="D467" s="19"/>
      <c r="E467" s="18"/>
      <c r="F467" s="19"/>
      <c r="G467" s="19"/>
      <c r="H467" s="19"/>
      <c r="I467" s="18"/>
      <c r="J467" s="18"/>
      <c r="K467" s="18"/>
      <c r="L467" s="18"/>
      <c r="M467" s="32" t="str">
        <f>IF(OR(K467="",L467=""),"",MATCH(K467,Lists!$C$2:$C$5,0)*MATCH(L467,Lists!$D$2:$D$6,0))</f>
        <v/>
      </c>
      <c r="N467" s="32" t="str">
        <f t="shared" si="14"/>
        <v/>
      </c>
      <c r="O467" s="32" t="str">
        <f t="shared" si="15"/>
        <v/>
      </c>
      <c r="P467" s="18"/>
      <c r="Q467" s="18"/>
      <c r="R467" s="18"/>
      <c r="S467" s="18"/>
      <c r="T467" s="18"/>
      <c r="U467" s="18"/>
      <c r="V467" s="35"/>
      <c r="W467" s="19"/>
    </row>
    <row r="468" spans="1:23">
      <c r="A468" s="18"/>
      <c r="B468" s="19"/>
      <c r="C468" s="18"/>
      <c r="D468" s="19"/>
      <c r="E468" s="18"/>
      <c r="F468" s="19"/>
      <c r="G468" s="19"/>
      <c r="H468" s="19"/>
      <c r="I468" s="18"/>
      <c r="J468" s="18"/>
      <c r="K468" s="18"/>
      <c r="L468" s="18"/>
      <c r="M468" s="32" t="str">
        <f>IF(OR(K468="",L468=""),"",MATCH(K468,Lists!$C$2:$C$5,0)*MATCH(L468,Lists!$D$2:$D$6,0))</f>
        <v/>
      </c>
      <c r="N468" s="32" t="str">
        <f t="shared" si="14"/>
        <v/>
      </c>
      <c r="O468" s="32" t="str">
        <f t="shared" si="15"/>
        <v/>
      </c>
      <c r="P468" s="18"/>
      <c r="Q468" s="18"/>
      <c r="R468" s="18"/>
      <c r="S468" s="18"/>
      <c r="T468" s="18"/>
      <c r="U468" s="18"/>
      <c r="V468" s="35"/>
      <c r="W468" s="19"/>
    </row>
    <row r="469" spans="1:23">
      <c r="A469" s="18"/>
      <c r="B469" s="19"/>
      <c r="C469" s="18"/>
      <c r="D469" s="19"/>
      <c r="E469" s="18"/>
      <c r="F469" s="19"/>
      <c r="G469" s="19"/>
      <c r="H469" s="19"/>
      <c r="I469" s="18"/>
      <c r="J469" s="18"/>
      <c r="K469" s="18"/>
      <c r="L469" s="18"/>
      <c r="M469" s="32" t="str">
        <f>IF(OR(K469="",L469=""),"",MATCH(K469,Lists!$C$2:$C$5,0)*MATCH(L469,Lists!$D$2:$D$6,0))</f>
        <v/>
      </c>
      <c r="N469" s="32" t="str">
        <f t="shared" si="14"/>
        <v/>
      </c>
      <c r="O469" s="32" t="str">
        <f t="shared" si="15"/>
        <v/>
      </c>
      <c r="P469" s="18"/>
      <c r="Q469" s="18"/>
      <c r="R469" s="18"/>
      <c r="S469" s="18"/>
      <c r="T469" s="18"/>
      <c r="U469" s="18"/>
      <c r="V469" s="35"/>
      <c r="W469" s="19"/>
    </row>
    <row r="470" spans="1:23">
      <c r="A470" s="18"/>
      <c r="B470" s="19"/>
      <c r="C470" s="18"/>
      <c r="D470" s="19"/>
      <c r="E470" s="18"/>
      <c r="F470" s="19"/>
      <c r="G470" s="19"/>
      <c r="H470" s="19"/>
      <c r="I470" s="18"/>
      <c r="J470" s="18"/>
      <c r="K470" s="18"/>
      <c r="L470" s="18"/>
      <c r="M470" s="32" t="str">
        <f>IF(OR(K470="",L470=""),"",MATCH(K470,Lists!$C$2:$C$5,0)*MATCH(L470,Lists!$D$2:$D$6,0))</f>
        <v/>
      </c>
      <c r="N470" s="32" t="str">
        <f t="shared" si="14"/>
        <v/>
      </c>
      <c r="O470" s="32" t="str">
        <f t="shared" si="15"/>
        <v/>
      </c>
      <c r="P470" s="18"/>
      <c r="Q470" s="18"/>
      <c r="R470" s="18"/>
      <c r="S470" s="18"/>
      <c r="T470" s="18"/>
      <c r="U470" s="18"/>
      <c r="V470" s="35"/>
      <c r="W470" s="19"/>
    </row>
    <row r="471" spans="1:23">
      <c r="A471" s="18"/>
      <c r="B471" s="19"/>
      <c r="C471" s="18"/>
      <c r="D471" s="19"/>
      <c r="E471" s="18"/>
      <c r="F471" s="19"/>
      <c r="G471" s="19"/>
      <c r="H471" s="19"/>
      <c r="I471" s="18"/>
      <c r="J471" s="18"/>
      <c r="K471" s="18"/>
      <c r="L471" s="18"/>
      <c r="M471" s="32" t="str">
        <f>IF(OR(K471="",L471=""),"",MATCH(K471,Lists!$C$2:$C$5,0)*MATCH(L471,Lists!$D$2:$D$6,0))</f>
        <v/>
      </c>
      <c r="N471" s="32" t="str">
        <f t="shared" si="14"/>
        <v/>
      </c>
      <c r="O471" s="32" t="str">
        <f t="shared" si="15"/>
        <v/>
      </c>
      <c r="P471" s="18"/>
      <c r="Q471" s="18"/>
      <c r="R471" s="18"/>
      <c r="S471" s="18"/>
      <c r="T471" s="18"/>
      <c r="U471" s="18"/>
      <c r="V471" s="35"/>
      <c r="W471" s="19"/>
    </row>
    <row r="472" spans="1:23">
      <c r="A472" s="18"/>
      <c r="B472" s="19"/>
      <c r="C472" s="18"/>
      <c r="D472" s="19"/>
      <c r="E472" s="18"/>
      <c r="F472" s="19"/>
      <c r="G472" s="19"/>
      <c r="H472" s="19"/>
      <c r="I472" s="18"/>
      <c r="J472" s="18"/>
      <c r="K472" s="18"/>
      <c r="L472" s="18"/>
      <c r="M472" s="32" t="str">
        <f>IF(OR(K472="",L472=""),"",MATCH(K472,Lists!$C$2:$C$5,0)*MATCH(L472,Lists!$D$2:$D$6,0))</f>
        <v/>
      </c>
      <c r="N472" s="32" t="str">
        <f t="shared" si="14"/>
        <v/>
      </c>
      <c r="O472" s="32" t="str">
        <f t="shared" si="15"/>
        <v/>
      </c>
      <c r="P472" s="18"/>
      <c r="Q472" s="18"/>
      <c r="R472" s="18"/>
      <c r="S472" s="18"/>
      <c r="T472" s="18"/>
      <c r="U472" s="18"/>
      <c r="V472" s="35"/>
      <c r="W472" s="19"/>
    </row>
    <row r="473" spans="1:23">
      <c r="A473" s="18"/>
      <c r="B473" s="19"/>
      <c r="C473" s="18"/>
      <c r="D473" s="19"/>
      <c r="E473" s="18"/>
      <c r="F473" s="19"/>
      <c r="G473" s="19"/>
      <c r="H473" s="19"/>
      <c r="I473" s="18"/>
      <c r="J473" s="18"/>
      <c r="K473" s="18"/>
      <c r="L473" s="18"/>
      <c r="M473" s="32" t="str">
        <f>IF(OR(K473="",L473=""),"",MATCH(K473,Lists!$C$2:$C$5,0)*MATCH(L473,Lists!$D$2:$D$6,0))</f>
        <v/>
      </c>
      <c r="N473" s="32" t="str">
        <f t="shared" si="14"/>
        <v/>
      </c>
      <c r="O473" s="32" t="str">
        <f t="shared" si="15"/>
        <v/>
      </c>
      <c r="P473" s="18"/>
      <c r="Q473" s="18"/>
      <c r="R473" s="18"/>
      <c r="S473" s="18"/>
      <c r="T473" s="18"/>
      <c r="U473" s="18"/>
      <c r="V473" s="35"/>
      <c r="W473" s="19"/>
    </row>
    <row r="474" spans="1:23">
      <c r="A474" s="18"/>
      <c r="B474" s="19"/>
      <c r="C474" s="18"/>
      <c r="D474" s="19"/>
      <c r="E474" s="18"/>
      <c r="F474" s="19"/>
      <c r="G474" s="19"/>
      <c r="H474" s="19"/>
      <c r="I474" s="18"/>
      <c r="J474" s="18"/>
      <c r="K474" s="18"/>
      <c r="L474" s="18"/>
      <c r="M474" s="32" t="str">
        <f>IF(OR(K474="",L474=""),"",MATCH(K474,Lists!$C$2:$C$5,0)*MATCH(L474,Lists!$D$2:$D$6,0))</f>
        <v/>
      </c>
      <c r="N474" s="32" t="str">
        <f t="shared" si="14"/>
        <v/>
      </c>
      <c r="O474" s="32" t="str">
        <f t="shared" si="15"/>
        <v/>
      </c>
      <c r="P474" s="18"/>
      <c r="Q474" s="18"/>
      <c r="R474" s="18"/>
      <c r="S474" s="18"/>
      <c r="T474" s="18"/>
      <c r="U474" s="18"/>
      <c r="V474" s="35"/>
      <c r="W474" s="19"/>
    </row>
    <row r="475" spans="1:23">
      <c r="A475" s="18"/>
      <c r="B475" s="19"/>
      <c r="C475" s="18"/>
      <c r="D475" s="19"/>
      <c r="E475" s="18"/>
      <c r="F475" s="19"/>
      <c r="G475" s="19"/>
      <c r="H475" s="19"/>
      <c r="I475" s="18"/>
      <c r="J475" s="18"/>
      <c r="K475" s="18"/>
      <c r="L475" s="18"/>
      <c r="M475" s="32" t="str">
        <f>IF(OR(K475="",L475=""),"",MATCH(K475,Lists!$C$2:$C$5,0)*MATCH(L475,Lists!$D$2:$D$6,0))</f>
        <v/>
      </c>
      <c r="N475" s="32" t="str">
        <f t="shared" si="14"/>
        <v/>
      </c>
      <c r="O475" s="32" t="str">
        <f t="shared" si="15"/>
        <v/>
      </c>
      <c r="P475" s="18"/>
      <c r="Q475" s="18"/>
      <c r="R475" s="18"/>
      <c r="S475" s="18"/>
      <c r="T475" s="18"/>
      <c r="U475" s="18"/>
      <c r="V475" s="35"/>
      <c r="W475" s="19"/>
    </row>
    <row r="476" spans="1:23">
      <c r="A476" s="18"/>
      <c r="B476" s="19"/>
      <c r="C476" s="18"/>
      <c r="D476" s="19"/>
      <c r="E476" s="18"/>
      <c r="F476" s="19"/>
      <c r="G476" s="19"/>
      <c r="H476" s="19"/>
      <c r="I476" s="18"/>
      <c r="J476" s="18"/>
      <c r="K476" s="18"/>
      <c r="L476" s="18"/>
      <c r="M476" s="32" t="str">
        <f>IF(OR(K476="",L476=""),"",MATCH(K476,Lists!$C$2:$C$5,0)*MATCH(L476,Lists!$D$2:$D$6,0))</f>
        <v/>
      </c>
      <c r="N476" s="32" t="str">
        <f t="shared" si="14"/>
        <v/>
      </c>
      <c r="O476" s="32" t="str">
        <f t="shared" si="15"/>
        <v/>
      </c>
      <c r="P476" s="18"/>
      <c r="Q476" s="18"/>
      <c r="R476" s="18"/>
      <c r="S476" s="18"/>
      <c r="T476" s="18"/>
      <c r="U476" s="18"/>
      <c r="V476" s="35"/>
      <c r="W476" s="19"/>
    </row>
    <row r="477" spans="1:23">
      <c r="A477" s="18"/>
      <c r="B477" s="19"/>
      <c r="C477" s="18"/>
      <c r="D477" s="19"/>
      <c r="E477" s="18"/>
      <c r="F477" s="19"/>
      <c r="G477" s="19"/>
      <c r="H477" s="19"/>
      <c r="I477" s="18"/>
      <c r="J477" s="18"/>
      <c r="K477" s="18"/>
      <c r="L477" s="18"/>
      <c r="M477" s="32" t="str">
        <f>IF(OR(K477="",L477=""),"",MATCH(K477,Lists!$C$2:$C$5,0)*MATCH(L477,Lists!$D$2:$D$6,0))</f>
        <v/>
      </c>
      <c r="N477" s="32" t="str">
        <f t="shared" si="14"/>
        <v/>
      </c>
      <c r="O477" s="32" t="str">
        <f t="shared" si="15"/>
        <v/>
      </c>
      <c r="P477" s="18"/>
      <c r="Q477" s="18"/>
      <c r="R477" s="18"/>
      <c r="S477" s="18"/>
      <c r="T477" s="18"/>
      <c r="U477" s="18"/>
      <c r="V477" s="35"/>
      <c r="W477" s="19"/>
    </row>
    <row r="478" spans="1:23">
      <c r="A478" s="18"/>
      <c r="B478" s="19"/>
      <c r="C478" s="18"/>
      <c r="D478" s="19"/>
      <c r="E478" s="18"/>
      <c r="F478" s="19"/>
      <c r="G478" s="19"/>
      <c r="H478" s="19"/>
      <c r="I478" s="18"/>
      <c r="J478" s="18"/>
      <c r="K478" s="18"/>
      <c r="L478" s="18"/>
      <c r="M478" s="32" t="str">
        <f>IF(OR(K478="",L478=""),"",MATCH(K478,Lists!$C$2:$C$5,0)*MATCH(L478,Lists!$D$2:$D$6,0))</f>
        <v/>
      </c>
      <c r="N478" s="32" t="str">
        <f t="shared" si="14"/>
        <v/>
      </c>
      <c r="O478" s="32" t="str">
        <f t="shared" si="15"/>
        <v/>
      </c>
      <c r="P478" s="18"/>
      <c r="Q478" s="18"/>
      <c r="R478" s="18"/>
      <c r="S478" s="18"/>
      <c r="T478" s="18"/>
      <c r="U478" s="18"/>
      <c r="V478" s="35"/>
      <c r="W478" s="19"/>
    </row>
    <row r="479" spans="1:23">
      <c r="A479" s="18"/>
      <c r="B479" s="19"/>
      <c r="C479" s="18"/>
      <c r="D479" s="19"/>
      <c r="E479" s="18"/>
      <c r="F479" s="19"/>
      <c r="G479" s="19"/>
      <c r="H479" s="19"/>
      <c r="I479" s="18"/>
      <c r="J479" s="18"/>
      <c r="K479" s="18"/>
      <c r="L479" s="18"/>
      <c r="M479" s="32" t="str">
        <f>IF(OR(K479="",L479=""),"",MATCH(K479,Lists!$C$2:$C$5,0)*MATCH(L479,Lists!$D$2:$D$6,0))</f>
        <v/>
      </c>
      <c r="N479" s="32" t="str">
        <f t="shared" si="14"/>
        <v/>
      </c>
      <c r="O479" s="32" t="str">
        <f t="shared" si="15"/>
        <v/>
      </c>
      <c r="P479" s="18"/>
      <c r="Q479" s="18"/>
      <c r="R479" s="18"/>
      <c r="S479" s="18"/>
      <c r="T479" s="18"/>
      <c r="U479" s="18"/>
      <c r="V479" s="35"/>
      <c r="W479" s="19"/>
    </row>
    <row r="480" spans="1:23">
      <c r="A480" s="18"/>
      <c r="B480" s="19"/>
      <c r="C480" s="18"/>
      <c r="D480" s="19"/>
      <c r="E480" s="18"/>
      <c r="F480" s="19"/>
      <c r="G480" s="19"/>
      <c r="H480" s="19"/>
      <c r="I480" s="18"/>
      <c r="J480" s="18"/>
      <c r="K480" s="18"/>
      <c r="L480" s="18"/>
      <c r="M480" s="32" t="str">
        <f>IF(OR(K480="",L480=""),"",MATCH(K480,Lists!$C$2:$C$5,0)*MATCH(L480,Lists!$D$2:$D$6,0))</f>
        <v/>
      </c>
      <c r="N480" s="32" t="str">
        <f t="shared" si="14"/>
        <v/>
      </c>
      <c r="O480" s="32" t="str">
        <f t="shared" si="15"/>
        <v/>
      </c>
      <c r="P480" s="18"/>
      <c r="Q480" s="18"/>
      <c r="R480" s="18"/>
      <c r="S480" s="18"/>
      <c r="T480" s="18"/>
      <c r="U480" s="18"/>
      <c r="V480" s="35"/>
      <c r="W480" s="19"/>
    </row>
    <row r="481" spans="1:23">
      <c r="A481" s="18"/>
      <c r="B481" s="19"/>
      <c r="C481" s="18"/>
      <c r="D481" s="19"/>
      <c r="E481" s="18"/>
      <c r="F481" s="19"/>
      <c r="G481" s="19"/>
      <c r="H481" s="19"/>
      <c r="I481" s="18"/>
      <c r="J481" s="18"/>
      <c r="K481" s="18"/>
      <c r="L481" s="18"/>
      <c r="M481" s="32" t="str">
        <f>IF(OR(K481="",L481=""),"",MATCH(K481,Lists!$C$2:$C$5,0)*MATCH(L481,Lists!$D$2:$D$6,0))</f>
        <v/>
      </c>
      <c r="N481" s="32" t="str">
        <f t="shared" si="14"/>
        <v/>
      </c>
      <c r="O481" s="32" t="str">
        <f t="shared" si="15"/>
        <v/>
      </c>
      <c r="P481" s="18"/>
      <c r="Q481" s="18"/>
      <c r="R481" s="18"/>
      <c r="S481" s="18"/>
      <c r="T481" s="18"/>
      <c r="U481" s="18"/>
      <c r="V481" s="35"/>
      <c r="W481" s="19"/>
    </row>
    <row r="482" spans="1:23">
      <c r="A482" s="18"/>
      <c r="B482" s="19"/>
      <c r="C482" s="18"/>
      <c r="D482" s="19"/>
      <c r="E482" s="18"/>
      <c r="F482" s="19"/>
      <c r="G482" s="19"/>
      <c r="H482" s="19"/>
      <c r="I482" s="18"/>
      <c r="J482" s="18"/>
      <c r="K482" s="18"/>
      <c r="L482" s="18"/>
      <c r="M482" s="32" t="str">
        <f>IF(OR(K482="",L482=""),"",MATCH(K482,Lists!$C$2:$C$5,0)*MATCH(L482,Lists!$D$2:$D$6,0))</f>
        <v/>
      </c>
      <c r="N482" s="32" t="str">
        <f t="shared" si="14"/>
        <v/>
      </c>
      <c r="O482" s="32" t="str">
        <f t="shared" si="15"/>
        <v/>
      </c>
      <c r="P482" s="18"/>
      <c r="Q482" s="18"/>
      <c r="R482" s="18"/>
      <c r="S482" s="18"/>
      <c r="T482" s="18"/>
      <c r="U482" s="18"/>
      <c r="V482" s="35"/>
      <c r="W482" s="19"/>
    </row>
    <row r="483" spans="1:23">
      <c r="A483" s="18"/>
      <c r="B483" s="19"/>
      <c r="C483" s="18"/>
      <c r="D483" s="19"/>
      <c r="E483" s="18"/>
      <c r="F483" s="19"/>
      <c r="G483" s="19"/>
      <c r="H483" s="19"/>
      <c r="I483" s="18"/>
      <c r="J483" s="18"/>
      <c r="K483" s="18"/>
      <c r="L483" s="18"/>
      <c r="M483" s="32" t="str">
        <f>IF(OR(K483="",L483=""),"",MATCH(K483,Lists!$C$2:$C$5,0)*MATCH(L483,Lists!$D$2:$D$6,0))</f>
        <v/>
      </c>
      <c r="N483" s="32" t="str">
        <f t="shared" si="14"/>
        <v/>
      </c>
      <c r="O483" s="32" t="str">
        <f t="shared" si="15"/>
        <v/>
      </c>
      <c r="P483" s="18"/>
      <c r="Q483" s="18"/>
      <c r="R483" s="18"/>
      <c r="S483" s="18"/>
      <c r="T483" s="18"/>
      <c r="U483" s="18"/>
      <c r="V483" s="35"/>
      <c r="W483" s="19"/>
    </row>
    <row r="484" spans="1:23">
      <c r="A484" s="18"/>
      <c r="B484" s="19"/>
      <c r="C484" s="18"/>
      <c r="D484" s="19"/>
      <c r="E484" s="18"/>
      <c r="F484" s="19"/>
      <c r="G484" s="19"/>
      <c r="H484" s="19"/>
      <c r="I484" s="18"/>
      <c r="J484" s="18"/>
      <c r="K484" s="18"/>
      <c r="L484" s="18"/>
      <c r="M484" s="32" t="str">
        <f>IF(OR(K484="",L484=""),"",MATCH(K484,Lists!$C$2:$C$5,0)*MATCH(L484,Lists!$D$2:$D$6,0))</f>
        <v/>
      </c>
      <c r="N484" s="32" t="str">
        <f t="shared" si="14"/>
        <v/>
      </c>
      <c r="O484" s="32" t="str">
        <f t="shared" si="15"/>
        <v/>
      </c>
      <c r="P484" s="18"/>
      <c r="Q484" s="18"/>
      <c r="R484" s="18"/>
      <c r="S484" s="18"/>
      <c r="T484" s="18"/>
      <c r="U484" s="18"/>
      <c r="V484" s="35"/>
      <c r="W484" s="19"/>
    </row>
    <row r="485" spans="1:23">
      <c r="A485" s="18"/>
      <c r="B485" s="19"/>
      <c r="C485" s="18"/>
      <c r="D485" s="19"/>
      <c r="E485" s="18"/>
      <c r="F485" s="19"/>
      <c r="G485" s="19"/>
      <c r="H485" s="19"/>
      <c r="I485" s="18"/>
      <c r="J485" s="18"/>
      <c r="K485" s="18"/>
      <c r="L485" s="18"/>
      <c r="M485" s="32" t="str">
        <f>IF(OR(K485="",L485=""),"",MATCH(K485,Lists!$C$2:$C$5,0)*MATCH(L485,Lists!$D$2:$D$6,0))</f>
        <v/>
      </c>
      <c r="N485" s="32" t="str">
        <f t="shared" si="14"/>
        <v/>
      </c>
      <c r="O485" s="32" t="str">
        <f t="shared" si="15"/>
        <v/>
      </c>
      <c r="P485" s="18"/>
      <c r="Q485" s="18"/>
      <c r="R485" s="18"/>
      <c r="S485" s="18"/>
      <c r="T485" s="18"/>
      <c r="U485" s="18"/>
      <c r="V485" s="35"/>
      <c r="W485" s="19"/>
    </row>
    <row r="486" spans="1:23">
      <c r="A486" s="18"/>
      <c r="B486" s="19"/>
      <c r="C486" s="18"/>
      <c r="D486" s="19"/>
      <c r="E486" s="18"/>
      <c r="F486" s="19"/>
      <c r="G486" s="19"/>
      <c r="H486" s="19"/>
      <c r="I486" s="18"/>
      <c r="J486" s="18"/>
      <c r="K486" s="18"/>
      <c r="L486" s="18"/>
      <c r="M486" s="32" t="str">
        <f>IF(OR(K486="",L486=""),"",MATCH(K486,Lists!$C$2:$C$5,0)*MATCH(L486,Lists!$D$2:$D$6,0))</f>
        <v/>
      </c>
      <c r="N486" s="32" t="str">
        <f t="shared" si="14"/>
        <v/>
      </c>
      <c r="O486" s="32" t="str">
        <f t="shared" si="15"/>
        <v/>
      </c>
      <c r="P486" s="18"/>
      <c r="Q486" s="18"/>
      <c r="R486" s="18"/>
      <c r="S486" s="18"/>
      <c r="T486" s="18"/>
      <c r="U486" s="18"/>
      <c r="V486" s="35"/>
      <c r="W486" s="19"/>
    </row>
    <row r="487" spans="1:23">
      <c r="A487" s="18"/>
      <c r="B487" s="19"/>
      <c r="C487" s="18"/>
      <c r="D487" s="19"/>
      <c r="E487" s="18"/>
      <c r="F487" s="19"/>
      <c r="G487" s="19"/>
      <c r="H487" s="19"/>
      <c r="I487" s="18"/>
      <c r="J487" s="18"/>
      <c r="K487" s="18"/>
      <c r="L487" s="18"/>
      <c r="M487" s="32" t="str">
        <f>IF(OR(K487="",L487=""),"",MATCH(K487,Lists!$C$2:$C$5,0)*MATCH(L487,Lists!$D$2:$D$6,0))</f>
        <v/>
      </c>
      <c r="N487" s="32" t="str">
        <f t="shared" si="14"/>
        <v/>
      </c>
      <c r="O487" s="32" t="str">
        <f t="shared" si="15"/>
        <v/>
      </c>
      <c r="P487" s="18"/>
      <c r="Q487" s="18"/>
      <c r="R487" s="18"/>
      <c r="S487" s="18"/>
      <c r="T487" s="18"/>
      <c r="U487" s="18"/>
      <c r="V487" s="35"/>
      <c r="W487" s="19"/>
    </row>
    <row r="488" spans="1:23">
      <c r="A488" s="18"/>
      <c r="B488" s="19"/>
      <c r="C488" s="18"/>
      <c r="D488" s="19"/>
      <c r="E488" s="18"/>
      <c r="F488" s="19"/>
      <c r="G488" s="19"/>
      <c r="H488" s="19"/>
      <c r="I488" s="18"/>
      <c r="J488" s="18"/>
      <c r="K488" s="18"/>
      <c r="L488" s="18"/>
      <c r="M488" s="32" t="str">
        <f>IF(OR(K488="",L488=""),"",MATCH(K488,Lists!$C$2:$C$5,0)*MATCH(L488,Lists!$D$2:$D$6,0))</f>
        <v/>
      </c>
      <c r="N488" s="32" t="str">
        <f t="shared" si="14"/>
        <v/>
      </c>
      <c r="O488" s="32" t="str">
        <f t="shared" si="15"/>
        <v/>
      </c>
      <c r="P488" s="18"/>
      <c r="Q488" s="18"/>
      <c r="R488" s="18"/>
      <c r="S488" s="18"/>
      <c r="T488" s="18"/>
      <c r="U488" s="18"/>
      <c r="V488" s="35"/>
      <c r="W488" s="19"/>
    </row>
    <row r="489" spans="1:23">
      <c r="A489" s="18"/>
      <c r="B489" s="19"/>
      <c r="C489" s="18"/>
      <c r="D489" s="19"/>
      <c r="E489" s="18"/>
      <c r="F489" s="19"/>
      <c r="G489" s="19"/>
      <c r="H489" s="19"/>
      <c r="I489" s="18"/>
      <c r="J489" s="18"/>
      <c r="K489" s="18"/>
      <c r="L489" s="18"/>
      <c r="M489" s="32" t="str">
        <f>IF(OR(K489="",L489=""),"",MATCH(K489,Lists!$C$2:$C$5,0)*MATCH(L489,Lists!$D$2:$D$6,0))</f>
        <v/>
      </c>
      <c r="N489" s="32" t="str">
        <f t="shared" si="14"/>
        <v/>
      </c>
      <c r="O489" s="32" t="str">
        <f t="shared" si="15"/>
        <v/>
      </c>
      <c r="P489" s="18"/>
      <c r="Q489" s="18"/>
      <c r="R489" s="18"/>
      <c r="S489" s="18"/>
      <c r="T489" s="18"/>
      <c r="U489" s="18"/>
      <c r="V489" s="35"/>
      <c r="W489" s="19"/>
    </row>
    <row r="490" spans="1:23">
      <c r="A490" s="18"/>
      <c r="B490" s="19"/>
      <c r="C490" s="18"/>
      <c r="D490" s="19"/>
      <c r="E490" s="18"/>
      <c r="F490" s="19"/>
      <c r="G490" s="19"/>
      <c r="H490" s="19"/>
      <c r="I490" s="18"/>
      <c r="J490" s="18"/>
      <c r="K490" s="18"/>
      <c r="L490" s="18"/>
      <c r="M490" s="32" t="str">
        <f>IF(OR(K490="",L490=""),"",MATCH(K490,Lists!$C$2:$C$5,0)*MATCH(L490,Lists!$D$2:$D$6,0))</f>
        <v/>
      </c>
      <c r="N490" s="32" t="str">
        <f t="shared" si="14"/>
        <v/>
      </c>
      <c r="O490" s="32" t="str">
        <f t="shared" si="15"/>
        <v/>
      </c>
      <c r="P490" s="18"/>
      <c r="Q490" s="18"/>
      <c r="R490" s="18"/>
      <c r="S490" s="18"/>
      <c r="T490" s="18"/>
      <c r="U490" s="18"/>
      <c r="V490" s="35"/>
      <c r="W490" s="19"/>
    </row>
    <row r="491" spans="1:23">
      <c r="A491" s="18"/>
      <c r="B491" s="19"/>
      <c r="C491" s="18"/>
      <c r="D491" s="19"/>
      <c r="E491" s="18"/>
      <c r="F491" s="19"/>
      <c r="G491" s="19"/>
      <c r="H491" s="19"/>
      <c r="I491" s="18"/>
      <c r="J491" s="18"/>
      <c r="K491" s="18"/>
      <c r="L491" s="18"/>
      <c r="M491" s="32" t="str">
        <f>IF(OR(K491="",L491=""),"",MATCH(K491,Lists!$C$2:$C$5,0)*MATCH(L491,Lists!$D$2:$D$6,0))</f>
        <v/>
      </c>
      <c r="N491" s="32" t="str">
        <f t="shared" si="14"/>
        <v/>
      </c>
      <c r="O491" s="32" t="str">
        <f t="shared" si="15"/>
        <v/>
      </c>
      <c r="P491" s="18"/>
      <c r="Q491" s="18"/>
      <c r="R491" s="18"/>
      <c r="S491" s="18"/>
      <c r="T491" s="18"/>
      <c r="U491" s="18"/>
      <c r="V491" s="35"/>
      <c r="W491" s="19"/>
    </row>
    <row r="492" spans="1:23">
      <c r="A492" s="18"/>
      <c r="B492" s="19"/>
      <c r="C492" s="18"/>
      <c r="D492" s="19"/>
      <c r="E492" s="18"/>
      <c r="F492" s="19"/>
      <c r="G492" s="19"/>
      <c r="H492" s="19"/>
      <c r="I492" s="18"/>
      <c r="J492" s="18"/>
      <c r="K492" s="18"/>
      <c r="L492" s="18"/>
      <c r="M492" s="32" t="str">
        <f>IF(OR(K492="",L492=""),"",MATCH(K492,Lists!$C$2:$C$5,0)*MATCH(L492,Lists!$D$2:$D$6,0))</f>
        <v/>
      </c>
      <c r="N492" s="32" t="str">
        <f t="shared" si="14"/>
        <v/>
      </c>
      <c r="O492" s="32" t="str">
        <f t="shared" si="15"/>
        <v/>
      </c>
      <c r="P492" s="18"/>
      <c r="Q492" s="18"/>
      <c r="R492" s="18"/>
      <c r="S492" s="18"/>
      <c r="T492" s="18"/>
      <c r="U492" s="18"/>
      <c r="V492" s="35"/>
      <c r="W492" s="19"/>
    </row>
    <row r="493" spans="1:23">
      <c r="A493" s="18"/>
      <c r="B493" s="19"/>
      <c r="C493" s="18"/>
      <c r="D493" s="19"/>
      <c r="E493" s="18"/>
      <c r="F493" s="19"/>
      <c r="G493" s="19"/>
      <c r="H493" s="19"/>
      <c r="I493" s="18"/>
      <c r="J493" s="18"/>
      <c r="K493" s="18"/>
      <c r="L493" s="18"/>
      <c r="M493" s="32" t="str">
        <f>IF(OR(K493="",L493=""),"",MATCH(K493,Lists!$C$2:$C$5,0)*MATCH(L493,Lists!$D$2:$D$6,0))</f>
        <v/>
      </c>
      <c r="N493" s="32" t="str">
        <f t="shared" si="14"/>
        <v/>
      </c>
      <c r="O493" s="32" t="str">
        <f t="shared" si="15"/>
        <v/>
      </c>
      <c r="P493" s="18"/>
      <c r="Q493" s="18"/>
      <c r="R493" s="18"/>
      <c r="S493" s="18"/>
      <c r="T493" s="18"/>
      <c r="U493" s="18"/>
      <c r="V493" s="35"/>
      <c r="W493" s="19"/>
    </row>
    <row r="494" spans="1:23">
      <c r="A494" s="18"/>
      <c r="B494" s="19"/>
      <c r="C494" s="18"/>
      <c r="D494" s="19"/>
      <c r="E494" s="18"/>
      <c r="F494" s="19"/>
      <c r="G494" s="19"/>
      <c r="H494" s="19"/>
      <c r="I494" s="18"/>
      <c r="J494" s="18"/>
      <c r="K494" s="18"/>
      <c r="L494" s="18"/>
      <c r="M494" s="32" t="str">
        <f>IF(OR(K494="",L494=""),"",MATCH(K494,Lists!$C$2:$C$5,0)*MATCH(L494,Lists!$D$2:$D$6,0))</f>
        <v/>
      </c>
      <c r="N494" s="32" t="str">
        <f t="shared" si="14"/>
        <v/>
      </c>
      <c r="O494" s="32" t="str">
        <f t="shared" si="15"/>
        <v/>
      </c>
      <c r="P494" s="18"/>
      <c r="Q494" s="18"/>
      <c r="R494" s="18"/>
      <c r="S494" s="18"/>
      <c r="T494" s="18"/>
      <c r="U494" s="18"/>
      <c r="V494" s="35"/>
      <c r="W494" s="19"/>
    </row>
    <row r="495" spans="1:23">
      <c r="A495" s="18"/>
      <c r="B495" s="19"/>
      <c r="C495" s="18"/>
      <c r="D495" s="19"/>
      <c r="E495" s="18"/>
      <c r="F495" s="19"/>
      <c r="G495" s="19"/>
      <c r="H495" s="19"/>
      <c r="I495" s="18"/>
      <c r="J495" s="18"/>
      <c r="K495" s="18"/>
      <c r="L495" s="18"/>
      <c r="M495" s="32" t="str">
        <f>IF(OR(K495="",L495=""),"",MATCH(K495,Lists!$C$2:$C$5,0)*MATCH(L495,Lists!$D$2:$D$6,0))</f>
        <v/>
      </c>
      <c r="N495" s="32" t="str">
        <f t="shared" si="14"/>
        <v/>
      </c>
      <c r="O495" s="32" t="str">
        <f t="shared" si="15"/>
        <v/>
      </c>
      <c r="P495" s="18"/>
      <c r="Q495" s="18"/>
      <c r="R495" s="18"/>
      <c r="S495" s="18"/>
      <c r="T495" s="18"/>
      <c r="U495" s="18"/>
      <c r="V495" s="35"/>
      <c r="W495" s="19"/>
    </row>
    <row r="496" spans="1:23">
      <c r="A496" s="18"/>
      <c r="B496" s="19"/>
      <c r="C496" s="18"/>
      <c r="D496" s="19"/>
      <c r="E496" s="18"/>
      <c r="F496" s="19"/>
      <c r="G496" s="19"/>
      <c r="H496" s="19"/>
      <c r="I496" s="18"/>
      <c r="J496" s="18"/>
      <c r="K496" s="18"/>
      <c r="L496" s="18"/>
      <c r="M496" s="32" t="str">
        <f>IF(OR(K496="",L496=""),"",MATCH(K496,Lists!$C$2:$C$5,0)*MATCH(L496,Lists!$D$2:$D$6,0))</f>
        <v/>
      </c>
      <c r="N496" s="32" t="str">
        <f t="shared" si="14"/>
        <v/>
      </c>
      <c r="O496" s="32" t="str">
        <f t="shared" si="15"/>
        <v/>
      </c>
      <c r="P496" s="18"/>
      <c r="Q496" s="18"/>
      <c r="R496" s="18"/>
      <c r="S496" s="18"/>
      <c r="T496" s="18"/>
      <c r="U496" s="18"/>
      <c r="V496" s="35"/>
      <c r="W496" s="19"/>
    </row>
    <row r="497" spans="1:23">
      <c r="A497" s="18"/>
      <c r="B497" s="19"/>
      <c r="C497" s="18"/>
      <c r="D497" s="19"/>
      <c r="E497" s="18"/>
      <c r="F497" s="19"/>
      <c r="G497" s="19"/>
      <c r="H497" s="19"/>
      <c r="I497" s="18"/>
      <c r="J497" s="18"/>
      <c r="K497" s="18"/>
      <c r="L497" s="18"/>
      <c r="M497" s="32" t="str">
        <f>IF(OR(K497="",L497=""),"",MATCH(K497,Lists!$C$2:$C$5,0)*MATCH(L497,Lists!$D$2:$D$6,0))</f>
        <v/>
      </c>
      <c r="N497" s="32" t="str">
        <f t="shared" si="14"/>
        <v/>
      </c>
      <c r="O497" s="32" t="str">
        <f t="shared" si="15"/>
        <v/>
      </c>
      <c r="P497" s="18"/>
      <c r="Q497" s="18"/>
      <c r="R497" s="18"/>
      <c r="S497" s="18"/>
      <c r="T497" s="18"/>
      <c r="U497" s="18"/>
      <c r="V497" s="35"/>
      <c r="W497" s="19"/>
    </row>
    <row r="498" spans="1:23">
      <c r="A498" s="18"/>
      <c r="B498" s="19"/>
      <c r="C498" s="18"/>
      <c r="D498" s="19"/>
      <c r="E498" s="18"/>
      <c r="F498" s="19"/>
      <c r="G498" s="19"/>
      <c r="H498" s="19"/>
      <c r="I498" s="18"/>
      <c r="J498" s="18"/>
      <c r="K498" s="18"/>
      <c r="L498" s="18"/>
      <c r="M498" s="32" t="str">
        <f>IF(OR(K498="",L498=""),"",MATCH(K498,Lists!$C$2:$C$5,0)*MATCH(L498,Lists!$D$2:$D$6,0))</f>
        <v/>
      </c>
      <c r="N498" s="32" t="str">
        <f t="shared" si="14"/>
        <v/>
      </c>
      <c r="O498" s="32" t="str">
        <f t="shared" si="15"/>
        <v/>
      </c>
      <c r="P498" s="18"/>
      <c r="Q498" s="18"/>
      <c r="R498" s="18"/>
      <c r="S498" s="18"/>
      <c r="T498" s="18"/>
      <c r="U498" s="18"/>
      <c r="V498" s="35"/>
      <c r="W498" s="19"/>
    </row>
    <row r="499" spans="1:23">
      <c r="A499" s="18"/>
      <c r="B499" s="19"/>
      <c r="C499" s="18"/>
      <c r="D499" s="19"/>
      <c r="E499" s="18"/>
      <c r="F499" s="19"/>
      <c r="G499" s="19"/>
      <c r="H499" s="19"/>
      <c r="I499" s="18"/>
      <c r="J499" s="18"/>
      <c r="K499" s="18"/>
      <c r="L499" s="18"/>
      <c r="M499" s="32" t="str">
        <f>IF(OR(K499="",L499=""),"",MATCH(K499,Lists!$C$2:$C$5,0)*MATCH(L499,Lists!$D$2:$D$6,0))</f>
        <v/>
      </c>
      <c r="N499" s="32" t="str">
        <f t="shared" si="14"/>
        <v/>
      </c>
      <c r="O499" s="32" t="str">
        <f t="shared" si="15"/>
        <v/>
      </c>
      <c r="P499" s="18"/>
      <c r="Q499" s="18"/>
      <c r="R499" s="18"/>
      <c r="S499" s="18"/>
      <c r="T499" s="18"/>
      <c r="U499" s="18"/>
      <c r="V499" s="35"/>
      <c r="W499" s="19"/>
    </row>
    <row r="500" spans="1:23">
      <c r="A500" s="18"/>
      <c r="B500" s="19"/>
      <c r="C500" s="18"/>
      <c r="D500" s="19"/>
      <c r="E500" s="18"/>
      <c r="F500" s="19"/>
      <c r="G500" s="19"/>
      <c r="H500" s="19"/>
      <c r="I500" s="18"/>
      <c r="J500" s="18"/>
      <c r="K500" s="18"/>
      <c r="L500" s="18"/>
      <c r="M500" s="32" t="str">
        <f>IF(OR(K500="",L500=""),"",MATCH(K500,Lists!$C$2:$C$5,0)*MATCH(L500,Lists!$D$2:$D$6,0))</f>
        <v/>
      </c>
      <c r="N500" s="32" t="str">
        <f t="shared" si="14"/>
        <v/>
      </c>
      <c r="O500" s="32" t="str">
        <f t="shared" si="15"/>
        <v/>
      </c>
      <c r="P500" s="18"/>
      <c r="Q500" s="18"/>
      <c r="R500" s="18"/>
      <c r="S500" s="18"/>
      <c r="T500" s="18"/>
      <c r="U500" s="18"/>
      <c r="V500" s="35"/>
      <c r="W500" s="19"/>
    </row>
    <row r="501" spans="1:23">
      <c r="A501" s="18"/>
      <c r="B501" s="19"/>
      <c r="C501" s="18"/>
      <c r="D501" s="19"/>
      <c r="E501" s="18"/>
      <c r="F501" s="19"/>
      <c r="G501" s="19"/>
      <c r="H501" s="19"/>
      <c r="I501" s="18"/>
      <c r="J501" s="18"/>
      <c r="K501" s="18"/>
      <c r="L501" s="18"/>
      <c r="M501" s="32" t="str">
        <f>IF(OR(K501="",L501=""),"",MATCH(K501,Lists!$C$2:$C$5,0)*MATCH(L501,Lists!$D$2:$D$6,0))</f>
        <v/>
      </c>
      <c r="N501" s="32" t="str">
        <f t="shared" si="14"/>
        <v/>
      </c>
      <c r="O501" s="32" t="str">
        <f t="shared" si="15"/>
        <v/>
      </c>
      <c r="P501" s="18"/>
      <c r="Q501" s="18"/>
      <c r="R501" s="18"/>
      <c r="S501" s="18"/>
      <c r="T501" s="18"/>
      <c r="U501" s="18"/>
      <c r="V501" s="35"/>
      <c r="W501" s="19"/>
    </row>
  </sheetData>
  <conditionalFormatting sqref="I2:I501">
    <cfRule type="expression" dxfId="0" priority="2">
      <formula>$I2="Pass"</formula>
    </cfRule>
    <cfRule type="expression" dxfId="1" priority="3">
      <formula>$I2="Fail"</formula>
    </cfRule>
    <cfRule type="expression" dxfId="2" priority="4">
      <formula>$I2="Blocked"</formula>
    </cfRule>
    <cfRule type="expression" dxfId="3" priority="5">
      <formula>$I2="Not Run"</formula>
    </cfRule>
    <cfRule type="expression" dxfId="4" priority="6">
      <formula>$I2="Not Applicable"</formula>
    </cfRule>
  </conditionalFormatting>
  <conditionalFormatting sqref="M2:M501">
    <cfRule type="expression" dxfId="5" priority="7">
      <formula>AND(ISNUMBER($M2),$M2&gt;=12)</formula>
    </cfRule>
    <cfRule type="expression" dxfId="6" priority="8">
      <formula>AND(ISNUMBER($M2),$M2&gt;=8,$M2&lt;12)</formula>
    </cfRule>
    <cfRule type="expression" dxfId="7" priority="9">
      <formula>AND(ISNUMBER($M2),$M2&gt;=4,$M2&lt;8)</formula>
    </cfRule>
    <cfRule type="expression" dxfId="8" priority="10">
      <formula>AND(ISNUMBER($M2),$M2&lt;4)</formula>
    </cfRule>
  </conditionalFormatting>
  <conditionalFormatting sqref="N2:N501">
    <cfRule type="expression" dxfId="5" priority="11">
      <formula>AND(ISNUMBER($M2),$M2&gt;=12)</formula>
    </cfRule>
    <cfRule type="expression" dxfId="6" priority="12">
      <formula>AND(ISNUMBER($M2),$M2&gt;=8,$M2&lt;12)</formula>
    </cfRule>
    <cfRule type="expression" dxfId="7" priority="13">
      <formula>AND(ISNUMBER($M2),$M2&gt;=4,$M2&lt;8)</formula>
    </cfRule>
    <cfRule type="expression" dxfId="8" priority="14">
      <formula>AND(ISNUMBER($M2),$M2&lt;4)</formula>
    </cfRule>
  </conditionalFormatting>
  <conditionalFormatting sqref="O2:O501">
    <cfRule type="expression" dxfId="5" priority="15">
      <formula>AND(ISNUMBER($M2),$M2&gt;=12)</formula>
    </cfRule>
    <cfRule type="expression" dxfId="6" priority="16">
      <formula>AND(ISNUMBER($M2),$M2&gt;=8,$M2&lt;12)</formula>
    </cfRule>
    <cfRule type="expression" dxfId="7" priority="17">
      <formula>AND(ISNUMBER($M2),$M2&gt;=4,$M2&lt;8)</formula>
    </cfRule>
    <cfRule type="expression" dxfId="8" priority="18">
      <formula>AND(ISNUMBER($M2),$M2&lt;4)</formula>
    </cfRule>
  </conditionalFormatting>
  <conditionalFormatting sqref="I2:I501">
    <cfRule type="expression" dxfId="26" priority="18">
      <formula>$I2="Invalid"</formula>
    </cfRule>
  </conditionalFormatting>
  <dataValidations count="8">
    <dataValidation type="list" allowBlank="1" sqref="Q2:R501">
      <formula1>Lists!$H$2:$H$3</formula1>
    </dataValidation>
    <dataValidation type="list" allowBlank="1" sqref="S2:S501">
      <formula1>Lists!$I$2:$I$5</formula1>
    </dataValidation>
    <dataValidation type="list" allowBlank="1" sqref="L2:L501">
      <formula1>Lists!$D$2:$D$6</formula1>
    </dataValidation>
    <dataValidation type="list" allowBlank="1" sqref="I2:I501">
      <formula1>Lists!$F$2:$F$7</formula1>
    </dataValidation>
    <dataValidation type="list" allowBlank="1" sqref="K2:K501">
      <formula1>Lists!$C$2:$C$5</formula1>
    </dataValidation>
    <dataValidation type="list" allowBlank="1" sqref="P2:P501">
      <formula1>Lists!$E$2:$E$9</formula1>
    </dataValidation>
    <dataValidation type="list" allowBlank="1" sqref="J2:J501">
      <formula1>Lists!$B$2:$B$5</formula1>
    </dataValidation>
    <dataValidation type="list" allowBlank="1" sqref="E2:E501">
      <formula1>Lists!$A$2:$A$12</formula1>
    </dataValidation>
  </dataValidations>
  <pageMargins left="0.75" right="0.75" top="1" bottom="1" header="0.511811023622047" footer="0.511811023622047"/>
  <pageSetup paperSize="8"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sheetPr>
  <dimension ref="A1:N34"/>
  <sheetViews>
    <sheetView showGridLines="0" topLeftCell="A9" workbookViewId="0" tabSelected="false">
      <selection activeCell="C28" sqref="C28"/>
    </sheetView>
  </sheetViews>
  <sheetFormatPr defaultColWidth="9" defaultRowHeight="15"/>
  <cols>
    <col min="1" max="11" customWidth="true" width="18.0"/>
  </cols>
  <sheetData>
    <row r="1" ht="25.5" customHeight="1" spans="1:14">
      <c r="A1" s="1" t="s">
        <v>49</v>
      </c>
      <c r="B1" s="1" t="s">
        <v>79</v>
      </c>
      <c r="C1" s="1" t="s">
        <v>80</v>
      </c>
      <c r="D1" s="1" t="s">
        <v>81</v>
      </c>
      <c r="E1" s="1" t="s">
        <v>59</v>
      </c>
      <c r="F1" s="1" t="s">
        <v>20</v>
      </c>
      <c r="G1" s="1" t="s">
        <v>82</v>
      </c>
      <c r="H1" s="1" t="s">
        <v>83</v>
      </c>
      <c r="I1" s="1" t="s">
        <v>62</v>
      </c>
      <c r="J1" s="1" t="s">
        <v>84</v>
      </c>
      <c r="K1" s="1" t="s">
        <v>85</v>
      </c>
      <c r="L1" s="3"/>
      <c r="M1" s="3"/>
      <c r="N1" s="3"/>
    </row>
    <row r="2" spans="1:14">
      <c r="A2" s="2" t="s">
        <v>70</v>
      </c>
      <c r="B2" s="2" t="s">
        <v>34</v>
      </c>
      <c r="C2" s="2" t="s">
        <v>34</v>
      </c>
      <c r="D2" s="2" t="s">
        <v>72</v>
      </c>
      <c r="E2" s="2" t="s">
        <v>73</v>
      </c>
      <c r="F2" s="2" t="s">
        <v>35</v>
      </c>
      <c r="G2" s="2" t="s">
        <v>86</v>
      </c>
      <c r="H2" s="2" t="s">
        <v>78</v>
      </c>
      <c r="I2" s="2" t="s">
        <v>87</v>
      </c>
      <c r="J2" s="2" t="s">
        <v>88</v>
      </c>
      <c r="K2" s="2" t="s">
        <v>70</v>
      </c>
      <c r="L2" s="3"/>
      <c r="M2" s="3"/>
      <c r="N2" s="3"/>
    </row>
    <row r="3" spans="1:14">
      <c r="A3" s="2" t="s">
        <v>89</v>
      </c>
      <c r="B3" s="2" t="s">
        <v>32</v>
      </c>
      <c r="C3" s="2" t="s">
        <v>32</v>
      </c>
      <c r="D3" s="2" t="s">
        <v>90</v>
      </c>
      <c r="E3" s="2" t="s">
        <v>91</v>
      </c>
      <c r="F3" s="2" t="s">
        <v>27</v>
      </c>
      <c r="G3" s="2" t="s">
        <v>92</v>
      </c>
      <c r="H3" s="2" t="s">
        <v>74</v>
      </c>
      <c r="I3" s="2" t="s">
        <v>75</v>
      </c>
      <c r="J3" s="2" t="s">
        <v>93</v>
      </c>
      <c r="K3" s="2" t="s">
        <v>94</v>
      </c>
      <c r="L3" s="3"/>
      <c r="M3" s="3"/>
      <c r="N3" s="3"/>
    </row>
    <row r="4" spans="1:14">
      <c r="A4" s="2" t="s">
        <v>95</v>
      </c>
      <c r="B4" s="2" t="s">
        <v>29</v>
      </c>
      <c r="C4" s="2" t="s">
        <v>29</v>
      </c>
      <c r="D4" s="2" t="s">
        <v>96</v>
      </c>
      <c r="E4" s="2" t="s">
        <v>89</v>
      </c>
      <c r="F4" s="2" t="s">
        <v>30</v>
      </c>
      <c r="G4" s="2" t="s">
        <v>97</v>
      </c>
      <c r="H4" s="2"/>
      <c r="I4" s="2" t="s">
        <v>98</v>
      </c>
      <c r="J4" s="2" t="s">
        <v>99</v>
      </c>
      <c r="K4" s="2" t="s">
        <v>100</v>
      </c>
      <c r="L4" s="3"/>
      <c r="M4" s="3"/>
      <c r="N4" s="3"/>
    </row>
    <row r="5" spans="1:14">
      <c r="A5" s="2" t="s">
        <v>101</v>
      </c>
      <c r="B5" s="2" t="s">
        <v>26</v>
      </c>
      <c r="C5" s="2" t="s">
        <v>26</v>
      </c>
      <c r="D5" s="2" t="s">
        <v>102</v>
      </c>
      <c r="E5" s="2" t="s">
        <v>95</v>
      </c>
      <c r="F5" s="2" t="s">
        <v>33</v>
      </c>
      <c r="G5" s="2" t="s">
        <v>103</v>
      </c>
      <c r="H5" s="2"/>
      <c r="I5" s="2" t="s">
        <v>104</v>
      </c>
      <c r="J5" s="2"/>
      <c r="K5" s="2" t="s">
        <v>105</v>
      </c>
      <c r="L5" s="3"/>
      <c r="M5" s="3"/>
      <c r="N5" s="3"/>
    </row>
    <row r="6" spans="1:14">
      <c r="A6" s="2" t="s">
        <v>106</v>
      </c>
      <c r="B6" s="2"/>
      <c r="C6" s="2"/>
      <c r="D6" s="2" t="s">
        <v>107</v>
      </c>
      <c r="E6" s="2" t="s">
        <v>108</v>
      </c>
      <c r="F6" s="2" t="s">
        <v>37</v>
      </c>
      <c r="G6" s="2"/>
      <c r="H6" s="2"/>
      <c r="I6" s="2"/>
      <c r="J6" s="2"/>
      <c r="K6" s="2"/>
      <c r="L6" s="3"/>
      <c r="M6" s="3"/>
      <c r="N6" s="3"/>
    </row>
    <row r="7" spans="1:14">
      <c r="A7" s="2" t="s">
        <v>109</v>
      </c>
      <c r="B7" s="2"/>
      <c r="C7" s="2"/>
      <c r="D7" s="2"/>
      <c r="E7" s="2" t="s">
        <v>110</v>
      </c>
      <c r="F7" s="2" t="s">
        <v>707</v>
      </c>
      <c r="G7" s="2"/>
      <c r="H7" s="2"/>
      <c r="I7" s="2"/>
      <c r="J7" s="2"/>
      <c r="K7" s="2"/>
      <c r="L7" s="3"/>
      <c r="M7" s="3"/>
      <c r="N7" s="3"/>
    </row>
    <row r="8" spans="1:14">
      <c r="A8" s="2" t="s">
        <v>110</v>
      </c>
      <c r="B8" s="2"/>
      <c r="C8" s="2"/>
      <c r="D8" s="2"/>
      <c r="E8" s="2" t="s">
        <v>77</v>
      </c>
      <c r="F8" s="2"/>
      <c r="G8" s="2"/>
      <c r="H8" s="2"/>
      <c r="I8" s="2"/>
      <c r="J8" s="2"/>
      <c r="K8" s="2"/>
      <c r="L8" s="3"/>
      <c r="M8" s="3"/>
      <c r="N8" s="3"/>
    </row>
    <row r="9" spans="1:14">
      <c r="A9" s="2" t="s">
        <v>108</v>
      </c>
      <c r="B9" s="2"/>
      <c r="C9" s="2"/>
      <c r="D9" s="2"/>
      <c r="E9" s="2" t="s">
        <v>111</v>
      </c>
      <c r="F9" s="2"/>
      <c r="G9" s="2"/>
      <c r="H9" s="2"/>
      <c r="I9" s="2"/>
      <c r="J9" s="2"/>
      <c r="K9" s="2"/>
      <c r="L9" s="3"/>
      <c r="M9" s="3"/>
      <c r="N9" s="3"/>
    </row>
    <row r="10" spans="1:14">
      <c r="A10" s="2" t="s">
        <v>98</v>
      </c>
      <c r="B10" s="2"/>
      <c r="C10" s="2"/>
      <c r="D10" s="2"/>
      <c r="E10" s="2"/>
      <c r="F10" s="2"/>
      <c r="G10" s="2"/>
      <c r="H10" s="2"/>
      <c r="I10" s="2"/>
      <c r="J10" s="2"/>
      <c r="K10" s="2"/>
      <c r="L10" s="3"/>
      <c r="M10" s="3"/>
      <c r="N10" s="3"/>
    </row>
    <row r="11" spans="1:14">
      <c r="A11" s="2" t="s">
        <v>112</v>
      </c>
      <c r="B11" s="2"/>
      <c r="C11" s="2"/>
      <c r="D11" s="2"/>
      <c r="E11" s="2"/>
      <c r="F11" s="2"/>
      <c r="G11" s="2"/>
      <c r="H11" s="2"/>
      <c r="I11" s="2"/>
      <c r="J11" s="2"/>
      <c r="K11" s="2"/>
      <c r="L11" s="3"/>
      <c r="M11" s="3"/>
      <c r="N11" s="3"/>
    </row>
    <row r="12" spans="1:14">
      <c r="A12" s="2" t="s">
        <v>113</v>
      </c>
      <c r="B12" s="2"/>
      <c r="C12" s="2"/>
      <c r="D12" s="2"/>
      <c r="E12" s="2"/>
      <c r="F12" s="2"/>
      <c r="G12" s="2"/>
      <c r="H12" s="2"/>
      <c r="I12" s="2"/>
      <c r="J12" s="2"/>
      <c r="K12" s="2"/>
      <c r="L12" s="3"/>
      <c r="M12" s="3"/>
      <c r="N12" s="3"/>
    </row>
    <row r="13" spans="1:14">
      <c r="A13" s="3"/>
      <c r="B13" s="3"/>
      <c r="C13" s="3"/>
      <c r="D13" s="3"/>
      <c r="E13" s="3"/>
      <c r="F13" s="3"/>
      <c r="G13" s="3"/>
      <c r="H13" s="3"/>
      <c r="I13" s="3"/>
      <c r="J13" s="3"/>
      <c r="K13" s="3"/>
      <c r="L13" s="3"/>
      <c r="M13" s="3"/>
      <c r="N13" s="3"/>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3"/>
      <c r="F16" s="3"/>
      <c r="G16" s="3"/>
      <c r="H16" s="3"/>
      <c r="I16" s="3"/>
      <c r="J16" s="3"/>
      <c r="K16" s="3"/>
      <c r="L16" s="3"/>
      <c r="M16" s="3"/>
      <c r="N16" s="3"/>
    </row>
    <row r="21" spans="1:1">
      <c r="A21" s="4" t="s">
        <v>114</v>
      </c>
    </row>
    <row r="22" spans="1:1">
      <c r="A22" s="5" t="s">
        <v>115</v>
      </c>
    </row>
    <row r="23" spans="1:1">
      <c r="A23" s="5" t="s">
        <v>116</v>
      </c>
    </row>
    <row r="24" spans="1:1">
      <c r="A24" s="5" t="s">
        <v>117</v>
      </c>
    </row>
    <row r="25" spans="1:1">
      <c r="A25" s="5" t="s">
        <v>118</v>
      </c>
    </row>
    <row r="26" spans="1:1">
      <c r="A26" s="5" t="s">
        <v>119</v>
      </c>
    </row>
    <row r="27" spans="1:1">
      <c r="A27" s="5" t="s">
        <v>120</v>
      </c>
    </row>
    <row r="28" spans="1:1">
      <c r="A28" s="5" t="s">
        <v>121</v>
      </c>
    </row>
    <row r="29" spans="1:1">
      <c r="A29" s="5" t="s">
        <v>122</v>
      </c>
    </row>
    <row r="31" spans="1:1">
      <c r="A31" s="4" t="s">
        <v>123</v>
      </c>
    </row>
    <row r="32" spans="1:2">
      <c r="A32" s="6"/>
      <c r="B32" s="7" t="s">
        <v>124</v>
      </c>
    </row>
    <row r="33" spans="1:2">
      <c r="A33" s="8"/>
      <c r="B33" s="7" t="s">
        <v>125</v>
      </c>
    </row>
    <row r="34" ht="24" spans="1:2">
      <c r="A34" s="9"/>
      <c r="B34" s="7" t="s">
        <v>126</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QA Dashboard</vt:lpstr>
      <vt:lpstr>Test Cases</vt:lpstr>
      <vt:lpstr>Lists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2026-09-24T08:59:00Z</dcterms:created>
  <dc:creator>openpyxl</dc:creator>
  <cp:lastModifiedBy>admin-1</cp:lastModifiedBy>
  <dcterms:modified xsi:type="dcterms:W3CDTF">2026-09-30T12:32:18Z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0D3F602D3D6F4C7CA2DCD84F35C669E2_12</vt:lpwstr>
  </property>
  <property fmtid="{D5CDD505-2E9C-101B-9397-08002B2CF9AE}" pid="4" name="KSOProductBuildVer">
    <vt:lpwstr>1033-11.1.0.11733</vt:lpwstr>
  </property>
</Properties>
</file>